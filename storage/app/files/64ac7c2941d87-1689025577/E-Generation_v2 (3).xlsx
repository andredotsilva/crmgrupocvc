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D3ED8AEC-3BCF-4798-90EA-3A33EB09C01F}" xr6:coauthVersionLast="47" xr6:coauthVersionMax="47" xr10:uidLastSave="{00000000-0000-0000-0000-000000000000}"/>
  <bookViews>
    <workbookView minimized="1" xWindow="3060" yWindow="1608" windowWidth="18432" windowHeight="9888" xr2:uid="{BB118EBA-8178-4280-8C2D-EB315CABECA4}"/>
  </bookViews>
  <sheets>
    <sheet name="Pressupostos" sheetId="1" r:id="rId1"/>
    <sheet name="Sheet1" sheetId="9" r:id="rId2"/>
    <sheet name="Compras" sheetId="7" r:id="rId3"/>
    <sheet name="DR" sheetId="2" r:id="rId4"/>
    <sheet name="Empréstimo" sheetId="3" r:id="rId5"/>
    <sheet name="NFM" sheetId="6" state="hidden" r:id="rId6"/>
    <sheet name="FCF" sheetId="5" state="hidden" r:id="rId7"/>
    <sheet name="Balanço" sheetId="4" state="hidden" r:id="rId8"/>
    <sheet name="Avaliação" sheetId="8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2" i="2" s="1"/>
  <c r="C13" i="2"/>
  <c r="F198" i="1"/>
  <c r="F263" i="1"/>
  <c r="F201" i="3"/>
  <c r="F202" i="3"/>
  <c r="E15" i="3"/>
  <c r="D15" i="3"/>
  <c r="F104" i="1"/>
  <c r="C8" i="2"/>
  <c r="C6" i="2"/>
  <c r="G52" i="1"/>
  <c r="F54" i="1"/>
  <c r="F53" i="1"/>
  <c r="F52" i="1"/>
  <c r="F59" i="1"/>
  <c r="C14" i="7"/>
  <c r="C5" i="7"/>
  <c r="D34" i="7"/>
  <c r="C34" i="7"/>
  <c r="C225" i="1"/>
  <c r="C230" i="1"/>
  <c r="F252" i="1"/>
  <c r="F249" i="1"/>
  <c r="E167" i="1"/>
  <c r="E198" i="1"/>
  <c r="E190" i="1"/>
  <c r="M201" i="1"/>
  <c r="M203" i="1" s="1"/>
  <c r="M199" i="1"/>
  <c r="V14" i="9"/>
  <c r="W14" i="9"/>
  <c r="X14" i="9"/>
  <c r="Y14" i="9"/>
  <c r="Z14" i="9"/>
  <c r="U14" i="9"/>
  <c r="P14" i="9"/>
  <c r="Q14" i="9"/>
  <c r="R14" i="9" s="1"/>
  <c r="S14" i="9" s="1"/>
  <c r="T14" i="9" s="1"/>
  <c r="O14" i="9"/>
  <c r="J14" i="9"/>
  <c r="K14" i="9"/>
  <c r="L14" i="9"/>
  <c r="M14" i="9"/>
  <c r="N14" i="9"/>
  <c r="I14" i="9"/>
  <c r="U11" i="9"/>
  <c r="J13" i="9"/>
  <c r="K13" i="9"/>
  <c r="L13" i="9"/>
  <c r="M13" i="9"/>
  <c r="N13" i="9"/>
  <c r="I12" i="9"/>
  <c r="O12" i="9" s="1"/>
  <c r="P12" i="9" s="1"/>
  <c r="Q12" i="9" s="1"/>
  <c r="I13" i="9"/>
  <c r="Z12" i="9"/>
  <c r="V12" i="9"/>
  <c r="U12" i="9"/>
  <c r="Z11" i="9"/>
  <c r="Y11" i="9"/>
  <c r="X11" i="9"/>
  <c r="W11" i="9"/>
  <c r="V11" i="9"/>
  <c r="Z10" i="9"/>
  <c r="Y10" i="9"/>
  <c r="X10" i="9"/>
  <c r="W10" i="9"/>
  <c r="V10" i="9"/>
  <c r="U10" i="9"/>
  <c r="Q11" i="9"/>
  <c r="R11" i="9" s="1"/>
  <c r="S11" i="9" s="1"/>
  <c r="T11" i="9" s="1"/>
  <c r="P11" i="9"/>
  <c r="O11" i="9"/>
  <c r="T10" i="9"/>
  <c r="S10" i="9"/>
  <c r="R10" i="9"/>
  <c r="Q10" i="9"/>
  <c r="P10" i="9"/>
  <c r="O10" i="9"/>
  <c r="N12" i="9"/>
  <c r="M12" i="9"/>
  <c r="L12" i="9"/>
  <c r="K12" i="9"/>
  <c r="J12" i="9"/>
  <c r="N11" i="9"/>
  <c r="M11" i="9"/>
  <c r="L11" i="9"/>
  <c r="K11" i="9"/>
  <c r="J11" i="9"/>
  <c r="I11" i="9"/>
  <c r="E11" i="9"/>
  <c r="B93" i="1"/>
  <c r="G89" i="1"/>
  <c r="B9" i="7"/>
  <c r="B8" i="7"/>
  <c r="B6" i="7"/>
  <c r="B5" i="7"/>
  <c r="E263" i="1"/>
  <c r="C186" i="1"/>
  <c r="C185" i="1"/>
  <c r="C180" i="1"/>
  <c r="C175" i="1"/>
  <c r="C170" i="1"/>
  <c r="C163" i="1"/>
  <c r="C218" i="1" s="1"/>
  <c r="C158" i="1"/>
  <c r="C213" i="1" s="1"/>
  <c r="C153" i="1"/>
  <c r="C208" i="1" s="1"/>
  <c r="C148" i="1"/>
  <c r="C203" i="1" s="1"/>
  <c r="C144" i="1"/>
  <c r="E8" i="3"/>
  <c r="B15" i="3" s="1"/>
  <c r="C14" i="3"/>
  <c r="E10" i="3"/>
  <c r="E9" i="3"/>
  <c r="E6" i="3"/>
  <c r="C231" i="1"/>
  <c r="C232" i="1"/>
  <c r="C233" i="1"/>
  <c r="C221" i="1"/>
  <c r="C220" i="1"/>
  <c r="C219" i="1"/>
  <c r="C216" i="1"/>
  <c r="C215" i="1"/>
  <c r="C214" i="1"/>
  <c r="C211" i="1"/>
  <c r="C210" i="1"/>
  <c r="C209" i="1"/>
  <c r="C206" i="1"/>
  <c r="C205" i="1"/>
  <c r="C204" i="1"/>
  <c r="C201" i="1"/>
  <c r="C200" i="1"/>
  <c r="C199" i="1"/>
  <c r="C243" i="1"/>
  <c r="C242" i="1"/>
  <c r="C238" i="1"/>
  <c r="C237" i="1"/>
  <c r="C236" i="1"/>
  <c r="C228" i="1"/>
  <c r="C227" i="1"/>
  <c r="C226" i="1"/>
  <c r="B243" i="1"/>
  <c r="B242" i="1"/>
  <c r="B241" i="1"/>
  <c r="B240" i="1"/>
  <c r="B238" i="1"/>
  <c r="B237" i="1"/>
  <c r="B236" i="1"/>
  <c r="B235" i="1"/>
  <c r="B233" i="1"/>
  <c r="B232" i="1"/>
  <c r="B231" i="1"/>
  <c r="B230" i="1"/>
  <c r="B228" i="1"/>
  <c r="B227" i="1"/>
  <c r="B226" i="1"/>
  <c r="B225" i="1"/>
  <c r="B221" i="1"/>
  <c r="B220" i="1"/>
  <c r="B219" i="1"/>
  <c r="B218" i="1"/>
  <c r="B216" i="1"/>
  <c r="B215" i="1"/>
  <c r="B214" i="1"/>
  <c r="B213" i="1"/>
  <c r="B211" i="1"/>
  <c r="B210" i="1"/>
  <c r="B209" i="1"/>
  <c r="B208" i="1"/>
  <c r="B206" i="1"/>
  <c r="B205" i="1"/>
  <c r="B204" i="1"/>
  <c r="B203" i="1"/>
  <c r="B201" i="1"/>
  <c r="B200" i="1"/>
  <c r="B199" i="1"/>
  <c r="B198" i="1"/>
  <c r="I143" i="1"/>
  <c r="J143" i="1" s="1"/>
  <c r="K143" i="1" s="1"/>
  <c r="L143" i="1" s="1"/>
  <c r="M143" i="1" s="1"/>
  <c r="N143" i="1" s="1"/>
  <c r="O143" i="1" s="1"/>
  <c r="P143" i="1" s="1"/>
  <c r="Q143" i="1" s="1"/>
  <c r="C14" i="2" l="1"/>
  <c r="F253" i="1"/>
  <c r="O13" i="9"/>
  <c r="P13" i="9" s="1"/>
  <c r="Q13" i="9" s="1"/>
  <c r="R13" i="9" s="1"/>
  <c r="S13" i="9" s="1"/>
  <c r="T13" i="9" s="1"/>
  <c r="Z13" i="9" s="1"/>
  <c r="R12" i="9"/>
  <c r="W12" i="9"/>
  <c r="C8" i="8"/>
  <c r="C15" i="3"/>
  <c r="B16" i="3"/>
  <c r="X13" i="9" l="1"/>
  <c r="U13" i="9"/>
  <c r="V13" i="9"/>
  <c r="W13" i="9"/>
  <c r="Y13" i="9"/>
  <c r="S12" i="9"/>
  <c r="X12" i="9"/>
  <c r="C16" i="3"/>
  <c r="B17" i="3"/>
  <c r="T12" i="9" l="1"/>
  <c r="Y12" i="9"/>
  <c r="C17" i="3"/>
  <c r="B18" i="3"/>
  <c r="B19" i="3" l="1"/>
  <c r="C18" i="3"/>
  <c r="C19" i="3" l="1"/>
  <c r="B20" i="3"/>
  <c r="C20" i="3" l="1"/>
  <c r="B21" i="3"/>
  <c r="B22" i="3" l="1"/>
  <c r="C21" i="3"/>
  <c r="C22" i="3" l="1"/>
  <c r="B23" i="3"/>
  <c r="B24" i="3" l="1"/>
  <c r="C23" i="3"/>
  <c r="C24" i="3" l="1"/>
  <c r="B25" i="3"/>
  <c r="B26" i="3" l="1"/>
  <c r="C25" i="3"/>
  <c r="C26" i="3" l="1"/>
  <c r="B27" i="3"/>
  <c r="B28" i="3" l="1"/>
  <c r="C27" i="3"/>
  <c r="C28" i="3" l="1"/>
  <c r="B29" i="3"/>
  <c r="B30" i="3" l="1"/>
  <c r="C29" i="3"/>
  <c r="C30" i="3" l="1"/>
  <c r="B31" i="3"/>
  <c r="B32" i="3" l="1"/>
  <c r="C31" i="3"/>
  <c r="C32" i="3" l="1"/>
  <c r="B33" i="3"/>
  <c r="B34" i="3" l="1"/>
  <c r="C33" i="3"/>
  <c r="C34" i="3" l="1"/>
  <c r="B35" i="3"/>
  <c r="B36" i="3" l="1"/>
  <c r="C35" i="3"/>
  <c r="C36" i="3" l="1"/>
  <c r="B37" i="3"/>
  <c r="B38" i="3" l="1"/>
  <c r="C37" i="3"/>
  <c r="C38" i="3" l="1"/>
  <c r="B39" i="3"/>
  <c r="B40" i="3" l="1"/>
  <c r="C39" i="3"/>
  <c r="C40" i="3" l="1"/>
  <c r="B41" i="3"/>
  <c r="B42" i="3" l="1"/>
  <c r="C41" i="3"/>
  <c r="C42" i="3" l="1"/>
  <c r="B43" i="3"/>
  <c r="B44" i="3" l="1"/>
  <c r="C43" i="3"/>
  <c r="C44" i="3" l="1"/>
  <c r="B45" i="3"/>
  <c r="B46" i="3" l="1"/>
  <c r="C45" i="3"/>
  <c r="C46" i="3" l="1"/>
  <c r="B47" i="3"/>
  <c r="C47" i="3" l="1"/>
  <c r="B48" i="3"/>
  <c r="C48" i="3" l="1"/>
  <c r="B49" i="3"/>
  <c r="B50" i="3" l="1"/>
  <c r="C49" i="3"/>
  <c r="C50" i="3" l="1"/>
  <c r="B51" i="3"/>
  <c r="B52" i="3" l="1"/>
  <c r="C51" i="3"/>
  <c r="C52" i="3" l="1"/>
  <c r="B53" i="3"/>
  <c r="B54" i="3" l="1"/>
  <c r="C53" i="3"/>
  <c r="C54" i="3" l="1"/>
  <c r="B55" i="3"/>
  <c r="C55" i="3" l="1"/>
  <c r="B56" i="3"/>
  <c r="C56" i="3" l="1"/>
  <c r="B57" i="3"/>
  <c r="B58" i="3" l="1"/>
  <c r="C57" i="3"/>
  <c r="C58" i="3" l="1"/>
  <c r="B59" i="3"/>
  <c r="C59" i="3" l="1"/>
  <c r="B60" i="3"/>
  <c r="C60" i="3" l="1"/>
  <c r="B61" i="3"/>
  <c r="B62" i="3" l="1"/>
  <c r="C61" i="3"/>
  <c r="C62" i="3" l="1"/>
  <c r="B63" i="3"/>
  <c r="B64" i="3" l="1"/>
  <c r="C63" i="3"/>
  <c r="C64" i="3" l="1"/>
  <c r="B65" i="3"/>
  <c r="B66" i="3" l="1"/>
  <c r="C65" i="3"/>
  <c r="C66" i="3" l="1"/>
  <c r="B67" i="3"/>
  <c r="B68" i="3" l="1"/>
  <c r="C67" i="3"/>
  <c r="C68" i="3" l="1"/>
  <c r="B69" i="3"/>
  <c r="B70" i="3" l="1"/>
  <c r="C69" i="3"/>
  <c r="C70" i="3" l="1"/>
  <c r="B71" i="3"/>
  <c r="B72" i="3" l="1"/>
  <c r="C71" i="3"/>
  <c r="C72" i="3" l="1"/>
  <c r="B73" i="3"/>
  <c r="B74" i="3" l="1"/>
  <c r="C73" i="3"/>
  <c r="C74" i="3" l="1"/>
  <c r="B75" i="3"/>
  <c r="C75" i="3" l="1"/>
  <c r="B76" i="3"/>
  <c r="B77" i="3" l="1"/>
  <c r="C76" i="3"/>
  <c r="B78" i="3" l="1"/>
  <c r="C77" i="3"/>
  <c r="B79" i="3" l="1"/>
  <c r="C78" i="3"/>
  <c r="B80" i="3" l="1"/>
  <c r="C79" i="3"/>
  <c r="B81" i="3" l="1"/>
  <c r="C80" i="3"/>
  <c r="B82" i="3" l="1"/>
  <c r="C81" i="3"/>
  <c r="B83" i="3" l="1"/>
  <c r="C82" i="3"/>
  <c r="B84" i="3" l="1"/>
  <c r="C83" i="3"/>
  <c r="B85" i="3" l="1"/>
  <c r="C84" i="3"/>
  <c r="B86" i="3" l="1"/>
  <c r="C85" i="3"/>
  <c r="B87" i="3" l="1"/>
  <c r="C86" i="3"/>
  <c r="B88" i="3" l="1"/>
  <c r="C87" i="3"/>
  <c r="B89" i="3" l="1"/>
  <c r="C88" i="3"/>
  <c r="B90" i="3" l="1"/>
  <c r="C89" i="3"/>
  <c r="B91" i="3" l="1"/>
  <c r="C90" i="3"/>
  <c r="B92" i="3" l="1"/>
  <c r="C91" i="3"/>
  <c r="B93" i="3" l="1"/>
  <c r="C92" i="3"/>
  <c r="B94" i="3" l="1"/>
  <c r="C93" i="3"/>
  <c r="B95" i="3" l="1"/>
  <c r="C94" i="3"/>
  <c r="B96" i="3" l="1"/>
  <c r="C95" i="3"/>
  <c r="B97" i="3" l="1"/>
  <c r="C96" i="3"/>
  <c r="B98" i="3" l="1"/>
  <c r="C97" i="3"/>
  <c r="B99" i="3" l="1"/>
  <c r="C98" i="3"/>
  <c r="B100" i="3" l="1"/>
  <c r="C99" i="3"/>
  <c r="B101" i="3" l="1"/>
  <c r="C100" i="3"/>
  <c r="B102" i="3" l="1"/>
  <c r="C101" i="3"/>
  <c r="B103" i="3" l="1"/>
  <c r="C102" i="3"/>
  <c r="B104" i="3" l="1"/>
  <c r="C103" i="3"/>
  <c r="B105" i="3" l="1"/>
  <c r="C104" i="3"/>
  <c r="B106" i="3" l="1"/>
  <c r="C105" i="3"/>
  <c r="B107" i="3" l="1"/>
  <c r="C106" i="3"/>
  <c r="B108" i="3" l="1"/>
  <c r="C107" i="3"/>
  <c r="B109" i="3" l="1"/>
  <c r="C108" i="3"/>
  <c r="B110" i="3" l="1"/>
  <c r="C109" i="3"/>
  <c r="B111" i="3" l="1"/>
  <c r="C110" i="3"/>
  <c r="B112" i="3" l="1"/>
  <c r="C111" i="3"/>
  <c r="B113" i="3" l="1"/>
  <c r="C112" i="3"/>
  <c r="B114" i="3" l="1"/>
  <c r="C113" i="3"/>
  <c r="B115" i="3" l="1"/>
  <c r="C114" i="3"/>
  <c r="B116" i="3" l="1"/>
  <c r="C115" i="3"/>
  <c r="B117" i="3" l="1"/>
  <c r="C116" i="3"/>
  <c r="B118" i="3" l="1"/>
  <c r="C117" i="3"/>
  <c r="B119" i="3" l="1"/>
  <c r="C118" i="3"/>
  <c r="B120" i="3" l="1"/>
  <c r="C119" i="3"/>
  <c r="B121" i="3" l="1"/>
  <c r="C120" i="3"/>
  <c r="B122" i="3" l="1"/>
  <c r="C121" i="3"/>
  <c r="B123" i="3" l="1"/>
  <c r="C122" i="3"/>
  <c r="B124" i="3" l="1"/>
  <c r="C123" i="3"/>
  <c r="B125" i="3" l="1"/>
  <c r="C124" i="3"/>
  <c r="B126" i="3" l="1"/>
  <c r="C125" i="3"/>
  <c r="B127" i="3" l="1"/>
  <c r="C126" i="3"/>
  <c r="B128" i="3" l="1"/>
  <c r="C127" i="3"/>
  <c r="B129" i="3" l="1"/>
  <c r="C128" i="3"/>
  <c r="B130" i="3" l="1"/>
  <c r="C129" i="3"/>
  <c r="B131" i="3" l="1"/>
  <c r="C130" i="3"/>
  <c r="B132" i="3" l="1"/>
  <c r="C131" i="3"/>
  <c r="B133" i="3" l="1"/>
  <c r="C132" i="3"/>
  <c r="B134" i="3" l="1"/>
  <c r="C133" i="3"/>
  <c r="B135" i="3" l="1"/>
  <c r="C134" i="3"/>
  <c r="B136" i="3" l="1"/>
  <c r="C135" i="3"/>
  <c r="B137" i="3" l="1"/>
  <c r="C136" i="3"/>
  <c r="B138" i="3" l="1"/>
  <c r="C137" i="3"/>
  <c r="B139" i="3" l="1"/>
  <c r="C138" i="3"/>
  <c r="B140" i="3" l="1"/>
  <c r="C139" i="3"/>
  <c r="B141" i="3" l="1"/>
  <c r="C140" i="3"/>
  <c r="B142" i="3" l="1"/>
  <c r="C141" i="3"/>
  <c r="B143" i="3" l="1"/>
  <c r="C142" i="3"/>
  <c r="B144" i="3" l="1"/>
  <c r="C143" i="3"/>
  <c r="B145" i="3" l="1"/>
  <c r="C144" i="3"/>
  <c r="B146" i="3" l="1"/>
  <c r="C145" i="3"/>
  <c r="B147" i="3" l="1"/>
  <c r="C146" i="3"/>
  <c r="B148" i="3" l="1"/>
  <c r="C147" i="3"/>
  <c r="B149" i="3" l="1"/>
  <c r="C148" i="3"/>
  <c r="B150" i="3" l="1"/>
  <c r="C149" i="3"/>
  <c r="B151" i="3" l="1"/>
  <c r="C150" i="3"/>
  <c r="B152" i="3" l="1"/>
  <c r="C151" i="3"/>
  <c r="B153" i="3" l="1"/>
  <c r="C152" i="3"/>
  <c r="B154" i="3" l="1"/>
  <c r="C153" i="3"/>
  <c r="B155" i="3" l="1"/>
  <c r="C154" i="3"/>
  <c r="B156" i="3" l="1"/>
  <c r="C155" i="3"/>
  <c r="B157" i="3" l="1"/>
  <c r="C156" i="3"/>
  <c r="B158" i="3" l="1"/>
  <c r="C157" i="3"/>
  <c r="B159" i="3" l="1"/>
  <c r="C158" i="3"/>
  <c r="B160" i="3" l="1"/>
  <c r="C159" i="3"/>
  <c r="B161" i="3" l="1"/>
  <c r="C160" i="3"/>
  <c r="B162" i="3" l="1"/>
  <c r="C161" i="3"/>
  <c r="B163" i="3" l="1"/>
  <c r="C162" i="3"/>
  <c r="B164" i="3" l="1"/>
  <c r="C163" i="3"/>
  <c r="B165" i="3" l="1"/>
  <c r="C164" i="3"/>
  <c r="B166" i="3" l="1"/>
  <c r="C165" i="3"/>
  <c r="B167" i="3" l="1"/>
  <c r="C166" i="3"/>
  <c r="B168" i="3" l="1"/>
  <c r="C167" i="3"/>
  <c r="B169" i="3" l="1"/>
  <c r="C168" i="3"/>
  <c r="B170" i="3" l="1"/>
  <c r="C169" i="3"/>
  <c r="B171" i="3" l="1"/>
  <c r="C170" i="3"/>
  <c r="B172" i="3" l="1"/>
  <c r="C171" i="3"/>
  <c r="B173" i="3" l="1"/>
  <c r="C172" i="3"/>
  <c r="B174" i="3" l="1"/>
  <c r="C173" i="3"/>
  <c r="B175" i="3" l="1"/>
  <c r="C174" i="3"/>
  <c r="B176" i="3" l="1"/>
  <c r="C175" i="3"/>
  <c r="B177" i="3" l="1"/>
  <c r="C176" i="3"/>
  <c r="B178" i="3" l="1"/>
  <c r="C177" i="3"/>
  <c r="B179" i="3" l="1"/>
  <c r="C178" i="3"/>
  <c r="B180" i="3" l="1"/>
  <c r="C179" i="3"/>
  <c r="B181" i="3" l="1"/>
  <c r="C180" i="3"/>
  <c r="B182" i="3" l="1"/>
  <c r="C181" i="3"/>
  <c r="B183" i="3" l="1"/>
  <c r="C182" i="3"/>
  <c r="B184" i="3" l="1"/>
  <c r="C183" i="3"/>
  <c r="B185" i="3" l="1"/>
  <c r="C184" i="3"/>
  <c r="B186" i="3" l="1"/>
  <c r="C185" i="3"/>
  <c r="B187" i="3" l="1"/>
  <c r="C186" i="3"/>
  <c r="B188" i="3" l="1"/>
  <c r="C187" i="3"/>
  <c r="B189" i="3" l="1"/>
  <c r="C188" i="3"/>
  <c r="B190" i="3" l="1"/>
  <c r="C189" i="3"/>
  <c r="B191" i="3" l="1"/>
  <c r="C190" i="3"/>
  <c r="B192" i="3" l="1"/>
  <c r="C191" i="3"/>
  <c r="B193" i="3" l="1"/>
  <c r="C192" i="3"/>
  <c r="B194" i="3" l="1"/>
  <c r="C193" i="3"/>
  <c r="C194" i="3" l="1"/>
  <c r="H89" i="1" l="1"/>
  <c r="I89" i="1" s="1"/>
  <c r="J89" i="1" s="1"/>
  <c r="B98" i="1"/>
  <c r="B97" i="1"/>
  <c r="B96" i="1"/>
  <c r="B15" i="7"/>
  <c r="B21" i="7" s="1"/>
  <c r="B27" i="7" s="1"/>
  <c r="B14" i="7"/>
  <c r="B20" i="7" s="1"/>
  <c r="B26" i="7" s="1"/>
  <c r="B12" i="7"/>
  <c r="B18" i="7" s="1"/>
  <c r="B24" i="7" s="1"/>
  <c r="B11" i="7"/>
  <c r="B17" i="7" s="1"/>
  <c r="B23" i="7" s="1"/>
  <c r="F8" i="1" l="1"/>
  <c r="G7" i="1"/>
  <c r="G8" i="1" s="1"/>
  <c r="D4" i="2" l="1"/>
  <c r="C4" i="2"/>
  <c r="F96" i="1"/>
  <c r="F101" i="1"/>
  <c r="F97" i="1"/>
  <c r="F98" i="1"/>
  <c r="E247" i="1"/>
  <c r="E242" i="1"/>
  <c r="E231" i="1"/>
  <c r="E219" i="1"/>
  <c r="E243" i="1"/>
  <c r="E232" i="1"/>
  <c r="E220" i="1"/>
  <c r="E210" i="1"/>
  <c r="E200" i="1"/>
  <c r="E236" i="1"/>
  <c r="E237" i="1"/>
  <c r="E226" i="1"/>
  <c r="E214" i="1"/>
  <c r="E204" i="1"/>
  <c r="E227" i="1"/>
  <c r="E216" i="1"/>
  <c r="E205" i="1"/>
  <c r="E211" i="1"/>
  <c r="E221" i="1"/>
  <c r="E206" i="1"/>
  <c r="E209" i="1"/>
  <c r="E238" i="1"/>
  <c r="F247" i="1"/>
  <c r="G247" i="1" s="1"/>
  <c r="E228" i="1"/>
  <c r="E233" i="1"/>
  <c r="E215" i="1"/>
  <c r="E201" i="1"/>
  <c r="F242" i="1"/>
  <c r="F231" i="1"/>
  <c r="F219" i="1"/>
  <c r="F209" i="1"/>
  <c r="F243" i="1"/>
  <c r="F232" i="1"/>
  <c r="F220" i="1"/>
  <c r="F233" i="1"/>
  <c r="F221" i="1"/>
  <c r="F211" i="1"/>
  <c r="F201" i="1"/>
  <c r="F236" i="1"/>
  <c r="F237" i="1"/>
  <c r="F226" i="1"/>
  <c r="F214" i="1"/>
  <c r="F204" i="1"/>
  <c r="F238" i="1"/>
  <c r="F227" i="1"/>
  <c r="F215" i="1"/>
  <c r="F205" i="1"/>
  <c r="F206" i="1"/>
  <c r="F210" i="1"/>
  <c r="F216" i="1"/>
  <c r="F228" i="1"/>
  <c r="F200" i="1"/>
  <c r="G189" i="1"/>
  <c r="E189" i="1"/>
  <c r="E250" i="1" s="1"/>
  <c r="F189" i="1"/>
  <c r="G167" i="1"/>
  <c r="E195" i="1"/>
  <c r="F195" i="1" s="1"/>
  <c r="F135" i="1"/>
  <c r="E135" i="1" s="1"/>
  <c r="F167" i="1"/>
  <c r="F191" i="1" s="1"/>
  <c r="E249" i="1"/>
  <c r="F100" i="1"/>
  <c r="G100" i="1" s="1"/>
  <c r="F103" i="1"/>
  <c r="G103" i="1" s="1"/>
  <c r="F95" i="1"/>
  <c r="G95" i="1" s="1"/>
  <c r="F84" i="1"/>
  <c r="G84" i="1" s="1"/>
  <c r="F48" i="1"/>
  <c r="G48" i="1" s="1"/>
  <c r="F38" i="1"/>
  <c r="G38" i="1" s="1"/>
  <c r="F28" i="1"/>
  <c r="G28" i="1" s="1"/>
  <c r="F18" i="1"/>
  <c r="F10" i="1"/>
  <c r="H7" i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T8" i="1" s="1"/>
  <c r="C15" i="8" l="1"/>
  <c r="E191" i="1"/>
  <c r="Q9" i="2"/>
  <c r="Q4" i="2"/>
  <c r="Q7" i="2"/>
  <c r="Q8" i="2"/>
  <c r="Q6" i="2"/>
  <c r="T96" i="1"/>
  <c r="T86" i="1"/>
  <c r="T97" i="1"/>
  <c r="T101" i="1"/>
  <c r="T88" i="1"/>
  <c r="T104" i="1"/>
  <c r="T90" i="1"/>
  <c r="T98" i="1"/>
  <c r="C9" i="7"/>
  <c r="C8" i="7"/>
  <c r="C11" i="7"/>
  <c r="D17" i="7" s="1"/>
  <c r="C6" i="7"/>
  <c r="C12" i="7" s="1"/>
  <c r="D3" i="8"/>
  <c r="D15" i="8"/>
  <c r="G249" i="1"/>
  <c r="F250" i="1"/>
  <c r="G250" i="1" s="1"/>
  <c r="C3" i="4"/>
  <c r="D3" i="4"/>
  <c r="C22" i="6"/>
  <c r="C3" i="6"/>
  <c r="C3" i="7"/>
  <c r="D22" i="6"/>
  <c r="D3" i="6"/>
  <c r="C31" i="7"/>
  <c r="F197" i="3"/>
  <c r="D3" i="5"/>
  <c r="C3" i="5"/>
  <c r="G191" i="1"/>
  <c r="T189" i="1"/>
  <c r="T167" i="1"/>
  <c r="G135" i="1"/>
  <c r="T109" i="1"/>
  <c r="L8" i="1"/>
  <c r="G10" i="1"/>
  <c r="C3" i="2"/>
  <c r="G18" i="1"/>
  <c r="F13" i="1"/>
  <c r="H8" i="1"/>
  <c r="E4" i="2" s="1"/>
  <c r="F11" i="1"/>
  <c r="S8" i="1"/>
  <c r="K8" i="1"/>
  <c r="R8" i="1"/>
  <c r="J8" i="1"/>
  <c r="G4" i="2" s="1"/>
  <c r="P8" i="1"/>
  <c r="Q8" i="1"/>
  <c r="I8" i="1"/>
  <c r="F4" i="2" s="1"/>
  <c r="O8" i="1"/>
  <c r="N8" i="1"/>
  <c r="M8" i="1"/>
  <c r="C23" i="7" l="1"/>
  <c r="D33" i="7"/>
  <c r="C35" i="7"/>
  <c r="C9" i="2" s="1"/>
  <c r="C26" i="7"/>
  <c r="N4" i="2"/>
  <c r="N7" i="2"/>
  <c r="N8" i="2"/>
  <c r="N9" i="2"/>
  <c r="N6" i="2"/>
  <c r="L9" i="2"/>
  <c r="L4" i="2"/>
  <c r="L8" i="2"/>
  <c r="L7" i="2"/>
  <c r="L6" i="2"/>
  <c r="J4" i="2"/>
  <c r="J7" i="2"/>
  <c r="J8" i="2"/>
  <c r="J6" i="2"/>
  <c r="J9" i="2"/>
  <c r="H9" i="2"/>
  <c r="H8" i="2"/>
  <c r="H6" i="2"/>
  <c r="H4" i="2"/>
  <c r="H7" i="2"/>
  <c r="I9" i="2"/>
  <c r="I4" i="2"/>
  <c r="I8" i="2"/>
  <c r="I6" i="2"/>
  <c r="I7" i="2"/>
  <c r="M4" i="2"/>
  <c r="M9" i="2"/>
  <c r="M8" i="2"/>
  <c r="M6" i="2"/>
  <c r="M7" i="2"/>
  <c r="O7" i="2"/>
  <c r="O6" i="2"/>
  <c r="O8" i="2"/>
  <c r="O9" i="2"/>
  <c r="O4" i="2"/>
  <c r="K8" i="2"/>
  <c r="K6" i="2"/>
  <c r="K7" i="2"/>
  <c r="K4" i="2"/>
  <c r="K9" i="2"/>
  <c r="P4" i="2"/>
  <c r="P7" i="2"/>
  <c r="P9" i="2"/>
  <c r="P8" i="2"/>
  <c r="P6" i="2"/>
  <c r="L96" i="1"/>
  <c r="L86" i="1"/>
  <c r="L90" i="1"/>
  <c r="L98" i="1"/>
  <c r="L88" i="1"/>
  <c r="L104" i="1"/>
  <c r="L97" i="1"/>
  <c r="L101" i="1"/>
  <c r="S86" i="1"/>
  <c r="S97" i="1"/>
  <c r="S90" i="1"/>
  <c r="S98" i="1"/>
  <c r="S101" i="1"/>
  <c r="S88" i="1"/>
  <c r="S96" i="1"/>
  <c r="S104" i="1"/>
  <c r="O101" i="1"/>
  <c r="O88" i="1"/>
  <c r="O96" i="1"/>
  <c r="O98" i="1"/>
  <c r="O104" i="1"/>
  <c r="O86" i="1"/>
  <c r="O97" i="1"/>
  <c r="O90" i="1"/>
  <c r="Q101" i="1"/>
  <c r="Q88" i="1"/>
  <c r="Q96" i="1"/>
  <c r="Q97" i="1"/>
  <c r="Q90" i="1"/>
  <c r="Q104" i="1"/>
  <c r="Q86" i="1"/>
  <c r="Q98" i="1"/>
  <c r="G86" i="1"/>
  <c r="G90" i="1"/>
  <c r="G88" i="1"/>
  <c r="K86" i="1"/>
  <c r="K101" i="1"/>
  <c r="K96" i="1"/>
  <c r="K97" i="1"/>
  <c r="K90" i="1"/>
  <c r="K98" i="1"/>
  <c r="K88" i="1"/>
  <c r="K104" i="1"/>
  <c r="N97" i="1"/>
  <c r="N90" i="1"/>
  <c r="N98" i="1"/>
  <c r="N88" i="1"/>
  <c r="N104" i="1"/>
  <c r="N96" i="1"/>
  <c r="N86" i="1"/>
  <c r="N101" i="1"/>
  <c r="M90" i="1"/>
  <c r="M101" i="1"/>
  <c r="M86" i="1"/>
  <c r="M97" i="1"/>
  <c r="M98" i="1"/>
  <c r="M88" i="1"/>
  <c r="M104" i="1"/>
  <c r="M96" i="1"/>
  <c r="P98" i="1"/>
  <c r="P88" i="1"/>
  <c r="P104" i="1"/>
  <c r="P97" i="1"/>
  <c r="P90" i="1"/>
  <c r="P101" i="1"/>
  <c r="P96" i="1"/>
  <c r="P86" i="1"/>
  <c r="R104" i="1"/>
  <c r="R96" i="1"/>
  <c r="R101" i="1"/>
  <c r="R86" i="1"/>
  <c r="R97" i="1"/>
  <c r="R90" i="1"/>
  <c r="R98" i="1"/>
  <c r="R88" i="1"/>
  <c r="F12" i="1"/>
  <c r="D5" i="6"/>
  <c r="D25" i="6" s="1"/>
  <c r="D22" i="4" s="1"/>
  <c r="D9" i="7"/>
  <c r="D6" i="7"/>
  <c r="D8" i="7"/>
  <c r="D14" i="7" s="1"/>
  <c r="D5" i="7"/>
  <c r="D11" i="7" s="1"/>
  <c r="E3" i="4"/>
  <c r="E3" i="8"/>
  <c r="E15" i="8"/>
  <c r="E199" i="1"/>
  <c r="F255" i="1" s="1"/>
  <c r="D42" i="4"/>
  <c r="C23" i="4"/>
  <c r="C9" i="4"/>
  <c r="C40" i="4"/>
  <c r="C22" i="4"/>
  <c r="C20" i="4"/>
  <c r="C7" i="4"/>
  <c r="D8" i="5"/>
  <c r="D3" i="7"/>
  <c r="E22" i="6"/>
  <c r="E3" i="6"/>
  <c r="D31" i="7"/>
  <c r="C8" i="5"/>
  <c r="D18" i="6"/>
  <c r="D14" i="6"/>
  <c r="C15" i="7"/>
  <c r="C27" i="7" s="1"/>
  <c r="D20" i="7"/>
  <c r="D18" i="7"/>
  <c r="C24" i="7"/>
  <c r="D10" i="6"/>
  <c r="G197" i="3"/>
  <c r="E3" i="5"/>
  <c r="F262" i="1"/>
  <c r="C16" i="5" s="1"/>
  <c r="E5" i="3"/>
  <c r="D14" i="3" s="1"/>
  <c r="T191" i="1"/>
  <c r="E213" i="1"/>
  <c r="H247" i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E230" i="1"/>
  <c r="E203" i="1"/>
  <c r="I236" i="1"/>
  <c r="I237" i="1"/>
  <c r="I226" i="1"/>
  <c r="I238" i="1"/>
  <c r="I227" i="1"/>
  <c r="I215" i="1"/>
  <c r="I205" i="1"/>
  <c r="I242" i="1"/>
  <c r="I231" i="1"/>
  <c r="I219" i="1"/>
  <c r="I209" i="1"/>
  <c r="I232" i="1"/>
  <c r="I221" i="1"/>
  <c r="I210" i="1"/>
  <c r="I228" i="1"/>
  <c r="I211" i="1"/>
  <c r="I233" i="1"/>
  <c r="I206" i="1"/>
  <c r="I243" i="1"/>
  <c r="I214" i="1"/>
  <c r="I200" i="1"/>
  <c r="I220" i="1"/>
  <c r="I201" i="1"/>
  <c r="I216" i="1"/>
  <c r="I204" i="1"/>
  <c r="G11" i="1"/>
  <c r="F199" i="1"/>
  <c r="F203" i="1"/>
  <c r="F218" i="1"/>
  <c r="F208" i="1"/>
  <c r="F230" i="1"/>
  <c r="F241" i="1"/>
  <c r="F240" i="1"/>
  <c r="F213" i="1"/>
  <c r="F225" i="1"/>
  <c r="F235" i="1"/>
  <c r="E218" i="1"/>
  <c r="E208" i="1"/>
  <c r="L228" i="1"/>
  <c r="L216" i="1"/>
  <c r="L206" i="1"/>
  <c r="L242" i="1"/>
  <c r="L231" i="1"/>
  <c r="L219" i="1"/>
  <c r="L209" i="1"/>
  <c r="L243" i="1"/>
  <c r="L233" i="1"/>
  <c r="L221" i="1"/>
  <c r="L211" i="1"/>
  <c r="L236" i="1"/>
  <c r="L214" i="1"/>
  <c r="L226" i="1"/>
  <c r="L238" i="1"/>
  <c r="L215" i="1"/>
  <c r="L210" i="1"/>
  <c r="L232" i="1"/>
  <c r="L237" i="1"/>
  <c r="L220" i="1"/>
  <c r="L204" i="1"/>
  <c r="L205" i="1"/>
  <c r="L227" i="1"/>
  <c r="E235" i="1"/>
  <c r="K238" i="1"/>
  <c r="K227" i="1"/>
  <c r="K215" i="1"/>
  <c r="K205" i="1"/>
  <c r="K228" i="1"/>
  <c r="K216" i="1"/>
  <c r="K242" i="1"/>
  <c r="K243" i="1"/>
  <c r="K232" i="1"/>
  <c r="K220" i="1"/>
  <c r="K210" i="1"/>
  <c r="K233" i="1"/>
  <c r="K221" i="1"/>
  <c r="K211" i="1"/>
  <c r="K236" i="1"/>
  <c r="K209" i="1"/>
  <c r="K214" i="1"/>
  <c r="K219" i="1"/>
  <c r="K226" i="1"/>
  <c r="K237" i="1"/>
  <c r="K231" i="1"/>
  <c r="K204" i="1"/>
  <c r="K206" i="1"/>
  <c r="E240" i="1"/>
  <c r="J237" i="1"/>
  <c r="J226" i="1"/>
  <c r="J214" i="1"/>
  <c r="J204" i="1"/>
  <c r="J238" i="1"/>
  <c r="J227" i="1"/>
  <c r="J215" i="1"/>
  <c r="J228" i="1"/>
  <c r="J216" i="1"/>
  <c r="J206" i="1"/>
  <c r="J242" i="1"/>
  <c r="J231" i="1"/>
  <c r="J219" i="1"/>
  <c r="J209" i="1"/>
  <c r="J243" i="1"/>
  <c r="J232" i="1"/>
  <c r="J220" i="1"/>
  <c r="J210" i="1"/>
  <c r="J200" i="1"/>
  <c r="J211" i="1"/>
  <c r="J236" i="1"/>
  <c r="J205" i="1"/>
  <c r="J221" i="1"/>
  <c r="J233" i="1"/>
  <c r="J201" i="1"/>
  <c r="H233" i="1"/>
  <c r="H221" i="1"/>
  <c r="H211" i="1"/>
  <c r="H201" i="1"/>
  <c r="H236" i="1"/>
  <c r="H237" i="1"/>
  <c r="H226" i="1"/>
  <c r="H214" i="1"/>
  <c r="H204" i="1"/>
  <c r="H238" i="1"/>
  <c r="H228" i="1"/>
  <c r="H216" i="1"/>
  <c r="H206" i="1"/>
  <c r="H209" i="1"/>
  <c r="H227" i="1"/>
  <c r="H232" i="1"/>
  <c r="H210" i="1"/>
  <c r="H219" i="1"/>
  <c r="H243" i="1"/>
  <c r="H205" i="1"/>
  <c r="H215" i="1"/>
  <c r="H200" i="1"/>
  <c r="H242" i="1"/>
  <c r="H231" i="1"/>
  <c r="H220" i="1"/>
  <c r="H189" i="1"/>
  <c r="H250" i="1" s="1"/>
  <c r="G243" i="1"/>
  <c r="G232" i="1"/>
  <c r="G220" i="1"/>
  <c r="G210" i="1"/>
  <c r="G200" i="1"/>
  <c r="G233" i="1"/>
  <c r="G221" i="1"/>
  <c r="G236" i="1"/>
  <c r="G237" i="1"/>
  <c r="G238" i="1"/>
  <c r="G227" i="1"/>
  <c r="G215" i="1"/>
  <c r="G205" i="1"/>
  <c r="G228" i="1"/>
  <c r="G216" i="1"/>
  <c r="G206" i="1"/>
  <c r="G209" i="1"/>
  <c r="G211" i="1"/>
  <c r="G242" i="1"/>
  <c r="G214" i="1"/>
  <c r="G219" i="1"/>
  <c r="G226" i="1"/>
  <c r="G201" i="1"/>
  <c r="G231" i="1"/>
  <c r="G204" i="1"/>
  <c r="E241" i="1"/>
  <c r="E225" i="1"/>
  <c r="P189" i="1"/>
  <c r="J189" i="1"/>
  <c r="R189" i="1"/>
  <c r="M189" i="1"/>
  <c r="K189" i="1"/>
  <c r="L189" i="1"/>
  <c r="N189" i="1"/>
  <c r="S189" i="1"/>
  <c r="Q189" i="1"/>
  <c r="O189" i="1"/>
  <c r="I189" i="1"/>
  <c r="I167" i="1"/>
  <c r="N167" i="1"/>
  <c r="O167" i="1"/>
  <c r="Q167" i="1"/>
  <c r="P167" i="1"/>
  <c r="J167" i="1"/>
  <c r="S167" i="1"/>
  <c r="R167" i="1"/>
  <c r="M167" i="1"/>
  <c r="K167" i="1"/>
  <c r="K191" i="1" s="1"/>
  <c r="L167" i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H135" i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H167" i="1"/>
  <c r="H249" i="1" s="1"/>
  <c r="K108" i="1"/>
  <c r="L108" i="1" s="1"/>
  <c r="M108" i="1" s="1"/>
  <c r="N108" i="1" s="1"/>
  <c r="O108" i="1" s="1"/>
  <c r="P108" i="1" s="1"/>
  <c r="Q108" i="1" s="1"/>
  <c r="R108" i="1" s="1"/>
  <c r="S108" i="1" s="1"/>
  <c r="T108" i="1" s="1"/>
  <c r="H100" i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H95" i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H103" i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F66" i="1"/>
  <c r="F69" i="1"/>
  <c r="F65" i="1"/>
  <c r="F56" i="1"/>
  <c r="F62" i="1"/>
  <c r="F80" i="1"/>
  <c r="F70" i="1"/>
  <c r="F72" i="1"/>
  <c r="F74" i="1"/>
  <c r="F64" i="1"/>
  <c r="F50" i="1"/>
  <c r="F76" i="1"/>
  <c r="F57" i="1"/>
  <c r="F73" i="1"/>
  <c r="F68" i="1"/>
  <c r="F77" i="1"/>
  <c r="F78" i="1"/>
  <c r="F61" i="1"/>
  <c r="F60" i="1"/>
  <c r="F75" i="1"/>
  <c r="F55" i="1"/>
  <c r="H84" i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H48" i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Q109" i="1"/>
  <c r="P109" i="1"/>
  <c r="R109" i="1"/>
  <c r="O109" i="1"/>
  <c r="M109" i="1"/>
  <c r="K109" i="1"/>
  <c r="L109" i="1"/>
  <c r="N109" i="1"/>
  <c r="S109" i="1"/>
  <c r="H38" i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H28" i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H10" i="1"/>
  <c r="E35" i="7" s="1"/>
  <c r="G13" i="1"/>
  <c r="D3" i="2"/>
  <c r="H18" i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C5" i="2" l="1"/>
  <c r="H88" i="1"/>
  <c r="G97" i="1"/>
  <c r="H90" i="1"/>
  <c r="G98" i="1"/>
  <c r="H86" i="1"/>
  <c r="G96" i="1"/>
  <c r="G12" i="1"/>
  <c r="G14" i="1" s="1"/>
  <c r="G101" i="1" s="1"/>
  <c r="D6" i="6"/>
  <c r="D7" i="6" s="1"/>
  <c r="D9" i="6" s="1"/>
  <c r="E5" i="6"/>
  <c r="E25" i="6" s="1"/>
  <c r="E22" i="4" s="1"/>
  <c r="E6" i="7"/>
  <c r="E12" i="7" s="1"/>
  <c r="E9" i="7"/>
  <c r="E15" i="7" s="1"/>
  <c r="E5" i="7"/>
  <c r="E8" i="7"/>
  <c r="E14" i="7" s="1"/>
  <c r="D35" i="7"/>
  <c r="D9" i="2" s="1"/>
  <c r="L191" i="1"/>
  <c r="R191" i="1"/>
  <c r="E34" i="7"/>
  <c r="E33" i="7"/>
  <c r="D18" i="8"/>
  <c r="C20" i="8"/>
  <c r="F3" i="4"/>
  <c r="F38" i="4" s="1"/>
  <c r="F15" i="8"/>
  <c r="F3" i="8"/>
  <c r="C17" i="4"/>
  <c r="I249" i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I250" i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E38" i="4"/>
  <c r="C38" i="4"/>
  <c r="C44" i="4" s="1"/>
  <c r="D38" i="4"/>
  <c r="G57" i="1"/>
  <c r="G80" i="1"/>
  <c r="D21" i="7"/>
  <c r="C10" i="5"/>
  <c r="C17" i="8" s="1"/>
  <c r="C19" i="8" s="1"/>
  <c r="D23" i="7"/>
  <c r="E3" i="7"/>
  <c r="F22" i="6"/>
  <c r="F3" i="6"/>
  <c r="E31" i="7"/>
  <c r="D24" i="6"/>
  <c r="D20" i="4" s="1"/>
  <c r="E8" i="5"/>
  <c r="S191" i="1"/>
  <c r="D26" i="7"/>
  <c r="D15" i="7"/>
  <c r="E17" i="7"/>
  <c r="E20" i="7"/>
  <c r="D12" i="7"/>
  <c r="D24" i="7" s="1"/>
  <c r="D6" i="2"/>
  <c r="G60" i="1"/>
  <c r="G75" i="1"/>
  <c r="G73" i="1"/>
  <c r="G70" i="1"/>
  <c r="I191" i="1"/>
  <c r="E11" i="3"/>
  <c r="G77" i="3" s="1"/>
  <c r="G213" i="1"/>
  <c r="F3" i="5"/>
  <c r="H14" i="3"/>
  <c r="J14" i="3" s="1"/>
  <c r="G77" i="1"/>
  <c r="G74" i="1"/>
  <c r="G66" i="1"/>
  <c r="G55" i="1"/>
  <c r="G68" i="1"/>
  <c r="G72" i="1"/>
  <c r="G53" i="1"/>
  <c r="G59" i="1"/>
  <c r="G62" i="1"/>
  <c r="O191" i="1"/>
  <c r="G78" i="1"/>
  <c r="G64" i="1"/>
  <c r="G69" i="1"/>
  <c r="M191" i="1"/>
  <c r="N191" i="1"/>
  <c r="G61" i="1"/>
  <c r="G76" i="1"/>
  <c r="G56" i="1"/>
  <c r="P191" i="1"/>
  <c r="G54" i="1"/>
  <c r="G50" i="1"/>
  <c r="G65" i="1"/>
  <c r="Q191" i="1"/>
  <c r="J191" i="1"/>
  <c r="H191" i="1"/>
  <c r="H197" i="3"/>
  <c r="G241" i="1"/>
  <c r="G225" i="1"/>
  <c r="G218" i="1"/>
  <c r="G253" i="1"/>
  <c r="F256" i="1"/>
  <c r="G230" i="1"/>
  <c r="G208" i="1"/>
  <c r="G199" i="1"/>
  <c r="G235" i="1"/>
  <c r="G203" i="1"/>
  <c r="G240" i="1"/>
  <c r="C7" i="2"/>
  <c r="H13" i="1"/>
  <c r="I10" i="1"/>
  <c r="H11" i="1"/>
  <c r="E3" i="2"/>
  <c r="E6" i="2" l="1"/>
  <c r="G104" i="1"/>
  <c r="D8" i="2"/>
  <c r="H12" i="1"/>
  <c r="I86" i="1"/>
  <c r="H96" i="1"/>
  <c r="I90" i="1"/>
  <c r="H98" i="1"/>
  <c r="I88" i="1"/>
  <c r="H97" i="1"/>
  <c r="F5" i="6"/>
  <c r="F25" i="6" s="1"/>
  <c r="F22" i="4" s="1"/>
  <c r="F6" i="7"/>
  <c r="F5" i="7"/>
  <c r="F9" i="7"/>
  <c r="F15" i="7" s="1"/>
  <c r="F8" i="7"/>
  <c r="F34" i="7"/>
  <c r="F33" i="7"/>
  <c r="C21" i="8"/>
  <c r="C22" i="8" s="1"/>
  <c r="D5" i="2"/>
  <c r="F18" i="8"/>
  <c r="G3" i="4"/>
  <c r="G38" i="4" s="1"/>
  <c r="G15" i="8"/>
  <c r="G3" i="8"/>
  <c r="C47" i="4"/>
  <c r="D5" i="8" s="1"/>
  <c r="D27" i="7"/>
  <c r="E6" i="6" s="1"/>
  <c r="D9" i="4"/>
  <c r="G256" i="1"/>
  <c r="D28" i="6"/>
  <c r="D59" i="4" s="1"/>
  <c r="E24" i="6"/>
  <c r="E20" i="4" s="1"/>
  <c r="F3" i="7"/>
  <c r="G22" i="6"/>
  <c r="G3" i="6"/>
  <c r="F31" i="7"/>
  <c r="F8" i="5"/>
  <c r="E21" i="7"/>
  <c r="E27" i="7" s="1"/>
  <c r="E18" i="7"/>
  <c r="E24" i="7" s="1"/>
  <c r="D17" i="6"/>
  <c r="D19" i="6" s="1"/>
  <c r="E18" i="6" s="1"/>
  <c r="D13" i="6"/>
  <c r="D15" i="6" s="1"/>
  <c r="E14" i="6" s="1"/>
  <c r="E26" i="7"/>
  <c r="F21" i="7"/>
  <c r="F18" i="7"/>
  <c r="F20" i="7"/>
  <c r="E11" i="7"/>
  <c r="F17" i="7" s="1"/>
  <c r="D8" i="6"/>
  <c r="G60" i="3"/>
  <c r="G154" i="3"/>
  <c r="G138" i="3"/>
  <c r="G194" i="3"/>
  <c r="G130" i="3"/>
  <c r="G186" i="3"/>
  <c r="G122" i="3"/>
  <c r="G178" i="3"/>
  <c r="G114" i="3"/>
  <c r="G146" i="3"/>
  <c r="G170" i="3"/>
  <c r="G162" i="3"/>
  <c r="G44" i="3"/>
  <c r="G28" i="3"/>
  <c r="G61" i="3"/>
  <c r="G45" i="3"/>
  <c r="G29" i="3"/>
  <c r="G187" i="3"/>
  <c r="G179" i="3"/>
  <c r="G171" i="3"/>
  <c r="G163" i="3"/>
  <c r="G155" i="3"/>
  <c r="G147" i="3"/>
  <c r="G139" i="3"/>
  <c r="G131" i="3"/>
  <c r="G123" i="3"/>
  <c r="G115" i="3"/>
  <c r="G99" i="3"/>
  <c r="G97" i="3"/>
  <c r="G59" i="3"/>
  <c r="G43" i="3"/>
  <c r="G27" i="3"/>
  <c r="G193" i="3"/>
  <c r="G185" i="3"/>
  <c r="G177" i="3"/>
  <c r="G169" i="3"/>
  <c r="G161" i="3"/>
  <c r="G153" i="3"/>
  <c r="G145" i="3"/>
  <c r="G137" i="3"/>
  <c r="G129" i="3"/>
  <c r="G121" i="3"/>
  <c r="G113" i="3"/>
  <c r="G96" i="3"/>
  <c r="G70" i="3"/>
  <c r="G54" i="3"/>
  <c r="G38" i="3"/>
  <c r="G22" i="3"/>
  <c r="G192" i="3"/>
  <c r="G184" i="3"/>
  <c r="G176" i="3"/>
  <c r="G168" i="3"/>
  <c r="G160" i="3"/>
  <c r="G152" i="3"/>
  <c r="G144" i="3"/>
  <c r="G136" i="3"/>
  <c r="G128" i="3"/>
  <c r="G120" i="3"/>
  <c r="G112" i="3"/>
  <c r="G88" i="3"/>
  <c r="G69" i="3"/>
  <c r="G53" i="3"/>
  <c r="G37" i="3"/>
  <c r="G21" i="3"/>
  <c r="G191" i="3"/>
  <c r="G183" i="3"/>
  <c r="G175" i="3"/>
  <c r="G167" i="3"/>
  <c r="G159" i="3"/>
  <c r="G151" i="3"/>
  <c r="G143" i="3"/>
  <c r="G135" i="3"/>
  <c r="G127" i="3"/>
  <c r="G119" i="3"/>
  <c r="G111" i="3"/>
  <c r="G87" i="3"/>
  <c r="G68" i="3"/>
  <c r="G52" i="3"/>
  <c r="G36" i="3"/>
  <c r="G20" i="3"/>
  <c r="G190" i="3"/>
  <c r="G182" i="3"/>
  <c r="G174" i="3"/>
  <c r="G166" i="3"/>
  <c r="G158" i="3"/>
  <c r="G150" i="3"/>
  <c r="G142" i="3"/>
  <c r="G134" i="3"/>
  <c r="G126" i="3"/>
  <c r="G118" i="3"/>
  <c r="G108" i="3"/>
  <c r="G84" i="3"/>
  <c r="G67" i="3"/>
  <c r="G51" i="3"/>
  <c r="G35" i="3"/>
  <c r="G19" i="3"/>
  <c r="G189" i="3"/>
  <c r="G181" i="3"/>
  <c r="G173" i="3"/>
  <c r="G165" i="3"/>
  <c r="G157" i="3"/>
  <c r="G149" i="3"/>
  <c r="G141" i="3"/>
  <c r="G133" i="3"/>
  <c r="G125" i="3"/>
  <c r="G117" i="3"/>
  <c r="G107" i="3"/>
  <c r="G62" i="3"/>
  <c r="G46" i="3"/>
  <c r="G30" i="3"/>
  <c r="G188" i="3"/>
  <c r="G180" i="3"/>
  <c r="G172" i="3"/>
  <c r="G164" i="3"/>
  <c r="G156" i="3"/>
  <c r="G148" i="3"/>
  <c r="G140" i="3"/>
  <c r="G132" i="3"/>
  <c r="G124" i="3"/>
  <c r="G116" i="3"/>
  <c r="G105" i="3"/>
  <c r="G74" i="3"/>
  <c r="G66" i="3"/>
  <c r="G58" i="3"/>
  <c r="G50" i="3"/>
  <c r="G42" i="3"/>
  <c r="G34" i="3"/>
  <c r="G26" i="3"/>
  <c r="G18" i="3"/>
  <c r="G103" i="3"/>
  <c r="G94" i="3"/>
  <c r="G82" i="3"/>
  <c r="G104" i="3"/>
  <c r="G73" i="3"/>
  <c r="G65" i="3"/>
  <c r="G57" i="3"/>
  <c r="G49" i="3"/>
  <c r="G41" i="3"/>
  <c r="G33" i="3"/>
  <c r="G25" i="3"/>
  <c r="G17" i="3"/>
  <c r="G102" i="3"/>
  <c r="G92" i="3"/>
  <c r="G81" i="3"/>
  <c r="G72" i="3"/>
  <c r="G64" i="3"/>
  <c r="G56" i="3"/>
  <c r="G48" i="3"/>
  <c r="G40" i="3"/>
  <c r="G32" i="3"/>
  <c r="G24" i="3"/>
  <c r="G16" i="3"/>
  <c r="G110" i="3"/>
  <c r="G101" i="3"/>
  <c r="G91" i="3"/>
  <c r="G76" i="3"/>
  <c r="G95" i="3"/>
  <c r="G83" i="3"/>
  <c r="G71" i="3"/>
  <c r="G63" i="3"/>
  <c r="G55" i="3"/>
  <c r="G47" i="3"/>
  <c r="G39" i="3"/>
  <c r="G31" i="3"/>
  <c r="G23" i="3"/>
  <c r="G15" i="3"/>
  <c r="G109" i="3"/>
  <c r="G100" i="3"/>
  <c r="G90" i="3"/>
  <c r="G75" i="3"/>
  <c r="G80" i="3"/>
  <c r="G106" i="3"/>
  <c r="G98" i="3"/>
  <c r="G89" i="3"/>
  <c r="G79" i="3"/>
  <c r="G86" i="3"/>
  <c r="G78" i="3"/>
  <c r="G93" i="3"/>
  <c r="G85" i="3"/>
  <c r="I197" i="3"/>
  <c r="G3" i="5"/>
  <c r="D7" i="2"/>
  <c r="H50" i="1"/>
  <c r="H15" i="3"/>
  <c r="H253" i="1"/>
  <c r="I11" i="1"/>
  <c r="I12" i="1" s="1"/>
  <c r="H241" i="1"/>
  <c r="H213" i="1"/>
  <c r="H230" i="1"/>
  <c r="H218" i="1"/>
  <c r="H203" i="1"/>
  <c r="H199" i="1"/>
  <c r="H208" i="1"/>
  <c r="H225" i="1"/>
  <c r="H240" i="1"/>
  <c r="H235" i="1"/>
  <c r="C10" i="2"/>
  <c r="H72" i="1"/>
  <c r="H68" i="1"/>
  <c r="H53" i="1"/>
  <c r="H80" i="1"/>
  <c r="H69" i="1"/>
  <c r="H64" i="1"/>
  <c r="H61" i="1"/>
  <c r="H62" i="1"/>
  <c r="H60" i="1"/>
  <c r="H55" i="1"/>
  <c r="H78" i="1"/>
  <c r="H52" i="1"/>
  <c r="H57" i="1"/>
  <c r="H65" i="1"/>
  <c r="H59" i="1"/>
  <c r="H66" i="1"/>
  <c r="H54" i="1"/>
  <c r="H70" i="1"/>
  <c r="H74" i="1"/>
  <c r="H56" i="1"/>
  <c r="H73" i="1"/>
  <c r="H77" i="1"/>
  <c r="H76" i="1"/>
  <c r="H75" i="1"/>
  <c r="I13" i="1"/>
  <c r="F3" i="2"/>
  <c r="J10" i="1"/>
  <c r="E7" i="2" l="1"/>
  <c r="F6" i="2"/>
  <c r="E5" i="2"/>
  <c r="E9" i="2"/>
  <c r="J88" i="1"/>
  <c r="J97" i="1" s="1"/>
  <c r="I97" i="1"/>
  <c r="H104" i="1"/>
  <c r="J86" i="1"/>
  <c r="J96" i="1" s="1"/>
  <c r="I96" i="1"/>
  <c r="J90" i="1"/>
  <c r="J98" i="1" s="1"/>
  <c r="I98" i="1"/>
  <c r="G5" i="6"/>
  <c r="G25" i="6" s="1"/>
  <c r="G22" i="4" s="1"/>
  <c r="G6" i="7"/>
  <c r="G5" i="7"/>
  <c r="G9" i="7"/>
  <c r="G15" i="7" s="1"/>
  <c r="G8" i="7"/>
  <c r="F35" i="7"/>
  <c r="G34" i="7"/>
  <c r="G33" i="7"/>
  <c r="H256" i="1"/>
  <c r="F9" i="4" s="1"/>
  <c r="G18" i="8"/>
  <c r="H3" i="4"/>
  <c r="H38" i="4" s="1"/>
  <c r="H15" i="8"/>
  <c r="H3" i="8"/>
  <c r="F15" i="3"/>
  <c r="I73" i="1"/>
  <c r="I69" i="1"/>
  <c r="E9" i="4"/>
  <c r="G8" i="5"/>
  <c r="G3" i="7"/>
  <c r="H22" i="6"/>
  <c r="H3" i="6"/>
  <c r="G31" i="7"/>
  <c r="E28" i="6"/>
  <c r="E59" i="4" s="1"/>
  <c r="D26" i="6"/>
  <c r="D23" i="4" s="1"/>
  <c r="F24" i="6"/>
  <c r="F20" i="4" s="1"/>
  <c r="E17" i="6"/>
  <c r="E19" i="6" s="1"/>
  <c r="F18" i="6" s="1"/>
  <c r="E13" i="6"/>
  <c r="E15" i="6" s="1"/>
  <c r="F14" i="6" s="1"/>
  <c r="D11" i="6"/>
  <c r="D29" i="6" s="1"/>
  <c r="D61" i="4" s="1"/>
  <c r="F14" i="7"/>
  <c r="F26" i="7" s="1"/>
  <c r="F12" i="7"/>
  <c r="G18" i="7" s="1"/>
  <c r="G21" i="7"/>
  <c r="F27" i="7"/>
  <c r="F11" i="7"/>
  <c r="G17" i="7" s="1"/>
  <c r="E23" i="7"/>
  <c r="F6" i="6" s="1"/>
  <c r="I57" i="1"/>
  <c r="J197" i="3"/>
  <c r="H3" i="5"/>
  <c r="I50" i="1"/>
  <c r="I56" i="1"/>
  <c r="I80" i="1"/>
  <c r="I76" i="1"/>
  <c r="I59" i="1"/>
  <c r="I61" i="1"/>
  <c r="I77" i="1"/>
  <c r="I65" i="1"/>
  <c r="I64" i="1"/>
  <c r="I78" i="1"/>
  <c r="I53" i="1"/>
  <c r="I70" i="1"/>
  <c r="I68" i="1"/>
  <c r="I74" i="1"/>
  <c r="I55" i="1"/>
  <c r="I54" i="1"/>
  <c r="I60" i="1"/>
  <c r="I72" i="1"/>
  <c r="I75" i="1"/>
  <c r="I66" i="1"/>
  <c r="I62" i="1"/>
  <c r="I253" i="1"/>
  <c r="J13" i="1"/>
  <c r="I225" i="1"/>
  <c r="I213" i="1"/>
  <c r="I203" i="1"/>
  <c r="I240" i="1"/>
  <c r="I208" i="1"/>
  <c r="I241" i="1"/>
  <c r="I199" i="1"/>
  <c r="I230" i="1"/>
  <c r="I218" i="1"/>
  <c r="I235" i="1"/>
  <c r="I52" i="1"/>
  <c r="H14" i="1"/>
  <c r="H101" i="1" s="1"/>
  <c r="K10" i="1"/>
  <c r="G3" i="2"/>
  <c r="J11" i="1"/>
  <c r="J12" i="1" s="1"/>
  <c r="D16" i="3" l="1"/>
  <c r="E16" i="3" s="1"/>
  <c r="E8" i="2"/>
  <c r="F7" i="2"/>
  <c r="G11" i="7"/>
  <c r="G6" i="2"/>
  <c r="F5" i="2"/>
  <c r="F9" i="2"/>
  <c r="I104" i="1"/>
  <c r="J104" i="1"/>
  <c r="H5" i="6"/>
  <c r="H25" i="6" s="1"/>
  <c r="H22" i="4" s="1"/>
  <c r="H8" i="7"/>
  <c r="H5" i="7"/>
  <c r="H9" i="7"/>
  <c r="H6" i="7"/>
  <c r="I256" i="1"/>
  <c r="G9" i="4" s="1"/>
  <c r="G35" i="7"/>
  <c r="H34" i="7"/>
  <c r="H33" i="7"/>
  <c r="I3" i="4"/>
  <c r="I38" i="4" s="1"/>
  <c r="I15" i="8"/>
  <c r="I19" i="8" s="1"/>
  <c r="I3" i="8"/>
  <c r="E7" i="6"/>
  <c r="H8" i="5"/>
  <c r="D30" i="6"/>
  <c r="D31" i="6" s="1"/>
  <c r="D9" i="5" s="1"/>
  <c r="H31" i="7"/>
  <c r="H3" i="7"/>
  <c r="I22" i="6"/>
  <c r="I3" i="6"/>
  <c r="G24" i="6"/>
  <c r="G20" i="4" s="1"/>
  <c r="E10" i="6"/>
  <c r="G20" i="7"/>
  <c r="G23" i="7"/>
  <c r="G14" i="7"/>
  <c r="F24" i="7"/>
  <c r="F23" i="7"/>
  <c r="H17" i="7"/>
  <c r="H21" i="7"/>
  <c r="G27" i="7"/>
  <c r="G12" i="7"/>
  <c r="G24" i="7" s="1"/>
  <c r="H14" i="7"/>
  <c r="H11" i="7"/>
  <c r="J76" i="1"/>
  <c r="K197" i="3"/>
  <c r="I3" i="5"/>
  <c r="H16" i="3"/>
  <c r="F16" i="3"/>
  <c r="K13" i="1"/>
  <c r="J240" i="1"/>
  <c r="J235" i="1"/>
  <c r="J213" i="1"/>
  <c r="J203" i="1"/>
  <c r="J241" i="1"/>
  <c r="J225" i="1"/>
  <c r="J208" i="1"/>
  <c r="J218" i="1"/>
  <c r="J230" i="1"/>
  <c r="J199" i="1"/>
  <c r="J253" i="1"/>
  <c r="D10" i="2"/>
  <c r="I14" i="1"/>
  <c r="I101" i="1" s="1"/>
  <c r="J56" i="1"/>
  <c r="J55" i="1"/>
  <c r="J70" i="1"/>
  <c r="J75" i="1"/>
  <c r="J66" i="1"/>
  <c r="J59" i="1"/>
  <c r="J57" i="1"/>
  <c r="J73" i="1"/>
  <c r="J74" i="1"/>
  <c r="J52" i="1"/>
  <c r="J78" i="1"/>
  <c r="J54" i="1"/>
  <c r="L10" i="1"/>
  <c r="J60" i="1"/>
  <c r="J53" i="1"/>
  <c r="J61" i="1"/>
  <c r="J72" i="1"/>
  <c r="J50" i="1"/>
  <c r="J68" i="1"/>
  <c r="J80" i="1"/>
  <c r="J69" i="1"/>
  <c r="J64" i="1"/>
  <c r="J62" i="1"/>
  <c r="J65" i="1"/>
  <c r="J77" i="1"/>
  <c r="K11" i="1"/>
  <c r="K12" i="1" s="1"/>
  <c r="H3" i="2"/>
  <c r="F8" i="2" l="1"/>
  <c r="G7" i="2"/>
  <c r="G5" i="2"/>
  <c r="G9" i="2"/>
  <c r="G6" i="6"/>
  <c r="I30" i="6"/>
  <c r="I17" i="6"/>
  <c r="I11" i="6"/>
  <c r="I15" i="6"/>
  <c r="I6" i="6"/>
  <c r="I31" i="6"/>
  <c r="I26" i="6"/>
  <c r="I18" i="6"/>
  <c r="I13" i="6"/>
  <c r="I8" i="6"/>
  <c r="I25" i="6"/>
  <c r="I7" i="6"/>
  <c r="I29" i="6"/>
  <c r="I24" i="6"/>
  <c r="I10" i="6"/>
  <c r="I19" i="6"/>
  <c r="I14" i="6"/>
  <c r="I28" i="6"/>
  <c r="I9" i="6"/>
  <c r="I5" i="6"/>
  <c r="E9" i="6"/>
  <c r="E11" i="6" s="1"/>
  <c r="J256" i="1"/>
  <c r="H9" i="4" s="1"/>
  <c r="I5" i="7"/>
  <c r="I8" i="7"/>
  <c r="I6" i="7"/>
  <c r="I9" i="7"/>
  <c r="H35" i="7"/>
  <c r="H5" i="2" s="1"/>
  <c r="I33" i="7"/>
  <c r="I34" i="7"/>
  <c r="I35" i="7" s="1"/>
  <c r="I5" i="2" s="1"/>
  <c r="I18" i="8"/>
  <c r="J3" i="4"/>
  <c r="J38" i="4" s="1"/>
  <c r="J15" i="8"/>
  <c r="J19" i="8" s="1"/>
  <c r="J3" i="8"/>
  <c r="G26" i="7"/>
  <c r="H6" i="6" s="1"/>
  <c r="K76" i="1"/>
  <c r="E8" i="6"/>
  <c r="H20" i="7"/>
  <c r="H26" i="7" s="1"/>
  <c r="H24" i="6"/>
  <c r="H20" i="4" s="1"/>
  <c r="I3" i="7"/>
  <c r="J22" i="6"/>
  <c r="J3" i="6"/>
  <c r="I31" i="7"/>
  <c r="I8" i="5"/>
  <c r="F17" i="6"/>
  <c r="F19" i="6" s="1"/>
  <c r="G18" i="6" s="1"/>
  <c r="F13" i="6"/>
  <c r="F15" i="6" s="1"/>
  <c r="G14" i="6" s="1"/>
  <c r="H12" i="7"/>
  <c r="I18" i="7" s="1"/>
  <c r="H18" i="7"/>
  <c r="H15" i="7"/>
  <c r="H27" i="7" s="1"/>
  <c r="H23" i="7"/>
  <c r="I17" i="7"/>
  <c r="I20" i="7"/>
  <c r="I22" i="4"/>
  <c r="I12" i="7"/>
  <c r="L197" i="3"/>
  <c r="J3" i="5"/>
  <c r="K253" i="1"/>
  <c r="K256" i="1" s="1"/>
  <c r="D17" i="3"/>
  <c r="E17" i="3" s="1"/>
  <c r="L13" i="1"/>
  <c r="K240" i="1"/>
  <c r="K225" i="1"/>
  <c r="K241" i="1"/>
  <c r="K203" i="1"/>
  <c r="K208" i="1"/>
  <c r="K230" i="1"/>
  <c r="K213" i="1"/>
  <c r="K218" i="1"/>
  <c r="K235" i="1"/>
  <c r="E10" i="2"/>
  <c r="J14" i="1"/>
  <c r="J101" i="1" s="1"/>
  <c r="G8" i="2" s="1"/>
  <c r="K68" i="1"/>
  <c r="K74" i="1"/>
  <c r="K73" i="1"/>
  <c r="K62" i="1"/>
  <c r="K53" i="1"/>
  <c r="K57" i="1"/>
  <c r="K64" i="1"/>
  <c r="K60" i="1"/>
  <c r="K69" i="1"/>
  <c r="K80" i="1"/>
  <c r="K55" i="1"/>
  <c r="K56" i="1"/>
  <c r="K54" i="1"/>
  <c r="K59" i="1"/>
  <c r="L11" i="1"/>
  <c r="I3" i="2"/>
  <c r="K50" i="1"/>
  <c r="K78" i="1"/>
  <c r="K66" i="1"/>
  <c r="M10" i="1"/>
  <c r="K77" i="1"/>
  <c r="K72" i="1"/>
  <c r="K70" i="1"/>
  <c r="K75" i="1"/>
  <c r="K65" i="1"/>
  <c r="K61" i="1"/>
  <c r="K52" i="1"/>
  <c r="E29" i="6" l="1"/>
  <c r="E61" i="4" s="1"/>
  <c r="F10" i="6"/>
  <c r="J31" i="6"/>
  <c r="J26" i="6"/>
  <c r="J18" i="6"/>
  <c r="J13" i="6"/>
  <c r="J8" i="6"/>
  <c r="J30" i="6"/>
  <c r="J11" i="6"/>
  <c r="J7" i="6"/>
  <c r="J29" i="6"/>
  <c r="J15" i="6"/>
  <c r="J6" i="6"/>
  <c r="J28" i="6"/>
  <c r="J25" i="6"/>
  <c r="J17" i="6"/>
  <c r="J24" i="6"/>
  <c r="J10" i="6"/>
  <c r="J19" i="6"/>
  <c r="J14" i="6"/>
  <c r="J9" i="6"/>
  <c r="J5" i="6"/>
  <c r="E26" i="6"/>
  <c r="E23" i="4" s="1"/>
  <c r="J9" i="7"/>
  <c r="J8" i="7"/>
  <c r="J6" i="7"/>
  <c r="J5" i="7"/>
  <c r="L76" i="1"/>
  <c r="F28" i="6"/>
  <c r="F59" i="4" s="1"/>
  <c r="L12" i="1"/>
  <c r="J33" i="7"/>
  <c r="J34" i="7"/>
  <c r="J18" i="8"/>
  <c r="K3" i="4"/>
  <c r="K38" i="4" s="1"/>
  <c r="K3" i="8"/>
  <c r="K15" i="8"/>
  <c r="K19" i="8" s="1"/>
  <c r="I9" i="4"/>
  <c r="I21" i="7"/>
  <c r="J8" i="5"/>
  <c r="K22" i="6"/>
  <c r="K3" i="6"/>
  <c r="J31" i="7"/>
  <c r="J3" i="7"/>
  <c r="I20" i="4"/>
  <c r="G13" i="6"/>
  <c r="G15" i="6" s="1"/>
  <c r="H14" i="6" s="1"/>
  <c r="G17" i="6"/>
  <c r="G19" i="6" s="1"/>
  <c r="H18" i="6" s="1"/>
  <c r="H24" i="7"/>
  <c r="I24" i="7"/>
  <c r="I11" i="7"/>
  <c r="J17" i="7" s="1"/>
  <c r="I15" i="7"/>
  <c r="I14" i="7"/>
  <c r="I26" i="7" s="1"/>
  <c r="J18" i="7"/>
  <c r="J22" i="4"/>
  <c r="J11" i="7"/>
  <c r="J14" i="7"/>
  <c r="J15" i="7"/>
  <c r="M197" i="3"/>
  <c r="K3" i="5"/>
  <c r="H17" i="3"/>
  <c r="F17" i="3"/>
  <c r="L253" i="1"/>
  <c r="L256" i="1" s="1"/>
  <c r="M13" i="1"/>
  <c r="L240" i="1"/>
  <c r="L203" i="1"/>
  <c r="L218" i="1"/>
  <c r="L241" i="1"/>
  <c r="L225" i="1"/>
  <c r="L208" i="1"/>
  <c r="L230" i="1"/>
  <c r="L235" i="1"/>
  <c r="L213" i="1"/>
  <c r="F10" i="2"/>
  <c r="K14" i="1"/>
  <c r="L55" i="1"/>
  <c r="L50" i="1"/>
  <c r="L75" i="1"/>
  <c r="N10" i="1"/>
  <c r="J3" i="2"/>
  <c r="M11" i="1"/>
  <c r="L70" i="1"/>
  <c r="L80" i="1"/>
  <c r="L73" i="1"/>
  <c r="L77" i="1"/>
  <c r="L60" i="1"/>
  <c r="L69" i="1"/>
  <c r="L72" i="1"/>
  <c r="L52" i="1"/>
  <c r="L59" i="1"/>
  <c r="L74" i="1"/>
  <c r="L61" i="1"/>
  <c r="L57" i="1"/>
  <c r="L54" i="1"/>
  <c r="L53" i="1"/>
  <c r="L65" i="1"/>
  <c r="L66" i="1"/>
  <c r="L68" i="1"/>
  <c r="L62" i="1"/>
  <c r="L64" i="1"/>
  <c r="L78" i="1"/>
  <c r="L56" i="1"/>
  <c r="E30" i="6" l="1"/>
  <c r="E31" i="6" s="1"/>
  <c r="E9" i="5" s="1"/>
  <c r="K24" i="6"/>
  <c r="K6" i="6"/>
  <c r="K28" i="6"/>
  <c r="K19" i="6"/>
  <c r="K9" i="6"/>
  <c r="K30" i="6"/>
  <c r="K25" i="6"/>
  <c r="K17" i="6"/>
  <c r="K11" i="6"/>
  <c r="K7" i="6"/>
  <c r="K29" i="6"/>
  <c r="K15" i="6"/>
  <c r="K10" i="6"/>
  <c r="K14" i="6"/>
  <c r="K5" i="6"/>
  <c r="K31" i="6"/>
  <c r="K18" i="6"/>
  <c r="K26" i="6"/>
  <c r="K13" i="6"/>
  <c r="K8" i="6"/>
  <c r="K9" i="7"/>
  <c r="K8" i="7"/>
  <c r="K6" i="7"/>
  <c r="K5" i="7"/>
  <c r="F7" i="6"/>
  <c r="M12" i="1"/>
  <c r="J35" i="7"/>
  <c r="J5" i="2" s="1"/>
  <c r="K34" i="7"/>
  <c r="K33" i="7"/>
  <c r="K35" i="7" s="1"/>
  <c r="K5" i="2" s="1"/>
  <c r="K18" i="8"/>
  <c r="L3" i="4"/>
  <c r="L38" i="4" s="1"/>
  <c r="L3" i="8"/>
  <c r="L15" i="8"/>
  <c r="L19" i="8" s="1"/>
  <c r="J9" i="4"/>
  <c r="I27" i="7"/>
  <c r="J20" i="4"/>
  <c r="K8" i="5"/>
  <c r="K3" i="7"/>
  <c r="L22" i="6"/>
  <c r="L3" i="6"/>
  <c r="K31" i="7"/>
  <c r="J21" i="7"/>
  <c r="J27" i="7" s="1"/>
  <c r="H17" i="6"/>
  <c r="H19" i="6" s="1"/>
  <c r="H13" i="6"/>
  <c r="H15" i="6" s="1"/>
  <c r="J23" i="7"/>
  <c r="K21" i="7"/>
  <c r="K20" i="7"/>
  <c r="K17" i="7"/>
  <c r="J12" i="7"/>
  <c r="J24" i="7" s="1"/>
  <c r="J20" i="7"/>
  <c r="J26" i="7" s="1"/>
  <c r="I23" i="7"/>
  <c r="K22" i="4"/>
  <c r="K15" i="7"/>
  <c r="K12" i="7"/>
  <c r="N197" i="3"/>
  <c r="L3" i="5"/>
  <c r="D18" i="3"/>
  <c r="E18" i="3" s="1"/>
  <c r="N13" i="1"/>
  <c r="M218" i="1"/>
  <c r="M210" i="1"/>
  <c r="M237" i="1"/>
  <c r="M233" i="1"/>
  <c r="M206" i="1"/>
  <c r="M213" i="1"/>
  <c r="M216" i="1"/>
  <c r="M208" i="1"/>
  <c r="M226" i="1"/>
  <c r="M215" i="1"/>
  <c r="M221" i="1"/>
  <c r="M242" i="1"/>
  <c r="M235" i="1"/>
  <c r="M214" i="1"/>
  <c r="M209" i="1"/>
  <c r="M232" i="1"/>
  <c r="M231" i="1"/>
  <c r="M204" i="1"/>
  <c r="M211" i="1"/>
  <c r="M227" i="1"/>
  <c r="M219" i="1"/>
  <c r="M236" i="1"/>
  <c r="M205" i="1"/>
  <c r="M241" i="1"/>
  <c r="M230" i="1"/>
  <c r="M243" i="1"/>
  <c r="M225" i="1"/>
  <c r="M238" i="1"/>
  <c r="M240" i="1"/>
  <c r="M228" i="1"/>
  <c r="M220" i="1"/>
  <c r="M253" i="1"/>
  <c r="M256" i="1" s="1"/>
  <c r="M66" i="1"/>
  <c r="M68" i="1"/>
  <c r="M59" i="1"/>
  <c r="M70" i="1"/>
  <c r="K3" i="2"/>
  <c r="M52" i="1"/>
  <c r="M62" i="1"/>
  <c r="M74" i="1"/>
  <c r="G10" i="2"/>
  <c r="M78" i="1"/>
  <c r="M57" i="1"/>
  <c r="M77" i="1"/>
  <c r="M64" i="1"/>
  <c r="M61" i="1"/>
  <c r="M73" i="1"/>
  <c r="N11" i="1"/>
  <c r="N12" i="1" s="1"/>
  <c r="O10" i="1"/>
  <c r="L14" i="1"/>
  <c r="M80" i="1"/>
  <c r="M75" i="1"/>
  <c r="M76" i="1"/>
  <c r="M65" i="1"/>
  <c r="M72" i="1"/>
  <c r="M50" i="1"/>
  <c r="M53" i="1"/>
  <c r="M69" i="1"/>
  <c r="M55" i="1"/>
  <c r="M56" i="1"/>
  <c r="M54" i="1"/>
  <c r="M60" i="1"/>
  <c r="L30" i="6" l="1"/>
  <c r="L25" i="6"/>
  <c r="L17" i="6"/>
  <c r="L11" i="6"/>
  <c r="L7" i="6"/>
  <c r="L24" i="6"/>
  <c r="L15" i="6"/>
  <c r="L10" i="6"/>
  <c r="L19" i="6"/>
  <c r="L9" i="6"/>
  <c r="L18" i="6"/>
  <c r="L29" i="6"/>
  <c r="L6" i="6"/>
  <c r="L28" i="6"/>
  <c r="L14" i="6"/>
  <c r="L5" i="6"/>
  <c r="L31" i="6"/>
  <c r="L26" i="6"/>
  <c r="L13" i="6"/>
  <c r="L8" i="6"/>
  <c r="F9" i="6"/>
  <c r="F11" i="6" s="1"/>
  <c r="L9" i="7"/>
  <c r="L6" i="7"/>
  <c r="L8" i="7"/>
  <c r="L5" i="7"/>
  <c r="F8" i="6"/>
  <c r="L33" i="7"/>
  <c r="L34" i="7"/>
  <c r="L35" i="7"/>
  <c r="L5" i="2" s="1"/>
  <c r="L18" i="8"/>
  <c r="M3" i="4"/>
  <c r="M38" i="4" s="1"/>
  <c r="M3" i="8"/>
  <c r="M15" i="8"/>
  <c r="M19" i="8" s="1"/>
  <c r="K9" i="4"/>
  <c r="K27" i="7"/>
  <c r="L8" i="5"/>
  <c r="K20" i="4"/>
  <c r="M22" i="6"/>
  <c r="M3" i="6"/>
  <c r="L31" i="7"/>
  <c r="L3" i="7"/>
  <c r="K14" i="7"/>
  <c r="K26" i="7" s="1"/>
  <c r="K18" i="7"/>
  <c r="K24" i="7" s="1"/>
  <c r="L18" i="7"/>
  <c r="L21" i="7"/>
  <c r="K11" i="7"/>
  <c r="L17" i="7" s="1"/>
  <c r="L22" i="4"/>
  <c r="L11" i="7"/>
  <c r="L14" i="7"/>
  <c r="O197" i="3"/>
  <c r="M3" i="5"/>
  <c r="H18" i="3"/>
  <c r="F18" i="3"/>
  <c r="L3" i="2"/>
  <c r="N220" i="1"/>
  <c r="N237" i="1"/>
  <c r="N205" i="1"/>
  <c r="N240" i="1"/>
  <c r="N227" i="1"/>
  <c r="N215" i="1"/>
  <c r="N242" i="1"/>
  <c r="N235" i="1"/>
  <c r="N226" i="1"/>
  <c r="N225" i="1"/>
  <c r="N216" i="1"/>
  <c r="N231" i="1"/>
  <c r="N233" i="1"/>
  <c r="N214" i="1"/>
  <c r="N206" i="1"/>
  <c r="N228" i="1"/>
  <c r="N219" i="1"/>
  <c r="N221" i="1"/>
  <c r="N204" i="1"/>
  <c r="N241" i="1"/>
  <c r="N208" i="1"/>
  <c r="N236" i="1"/>
  <c r="N232" i="1"/>
  <c r="N209" i="1"/>
  <c r="N211" i="1"/>
  <c r="N230" i="1"/>
  <c r="N210" i="1"/>
  <c r="N213" i="1"/>
  <c r="N201" i="1"/>
  <c r="N238" i="1"/>
  <c r="N203" i="1"/>
  <c r="N218" i="1"/>
  <c r="N243" i="1"/>
  <c r="N253" i="1"/>
  <c r="N256" i="1" s="1"/>
  <c r="N72" i="1"/>
  <c r="N52" i="1"/>
  <c r="N73" i="1"/>
  <c r="N60" i="1"/>
  <c r="N65" i="1"/>
  <c r="N77" i="1"/>
  <c r="H10" i="2"/>
  <c r="N78" i="1"/>
  <c r="N75" i="1"/>
  <c r="O13" i="1"/>
  <c r="N55" i="1"/>
  <c r="O11" i="1"/>
  <c r="O12" i="1" s="1"/>
  <c r="P10" i="1"/>
  <c r="M14" i="1"/>
  <c r="N74" i="1"/>
  <c r="N54" i="1"/>
  <c r="N70" i="1"/>
  <c r="N68" i="1"/>
  <c r="N56" i="1"/>
  <c r="N76" i="1"/>
  <c r="N61" i="1"/>
  <c r="N69" i="1"/>
  <c r="O69" i="1" s="1"/>
  <c r="N80" i="1"/>
  <c r="N64" i="1"/>
  <c r="N53" i="1"/>
  <c r="N59" i="1"/>
  <c r="N50" i="1"/>
  <c r="N57" i="1"/>
  <c r="N66" i="1"/>
  <c r="N62" i="1"/>
  <c r="F29" i="6" l="1"/>
  <c r="F61" i="4" s="1"/>
  <c r="G10" i="6"/>
  <c r="M28" i="6"/>
  <c r="M14" i="6"/>
  <c r="M9" i="6"/>
  <c r="M13" i="6"/>
  <c r="M29" i="6"/>
  <c r="M24" i="6"/>
  <c r="M15" i="6"/>
  <c r="M10" i="6"/>
  <c r="M6" i="6"/>
  <c r="M19" i="6"/>
  <c r="M5" i="6"/>
  <c r="M31" i="6"/>
  <c r="M26" i="6"/>
  <c r="M18" i="6"/>
  <c r="M8" i="6"/>
  <c r="M30" i="6"/>
  <c r="M7" i="6"/>
  <c r="M17" i="6"/>
  <c r="M25" i="6"/>
  <c r="M11" i="6"/>
  <c r="F26" i="6"/>
  <c r="F23" i="4" s="1"/>
  <c r="M6" i="7"/>
  <c r="M9" i="7"/>
  <c r="M5" i="7"/>
  <c r="M8" i="7"/>
  <c r="G28" i="6"/>
  <c r="G59" i="4" s="1"/>
  <c r="M33" i="7"/>
  <c r="M34" i="7"/>
  <c r="N3" i="4"/>
  <c r="N38" i="4" s="1"/>
  <c r="N3" i="8"/>
  <c r="N15" i="8"/>
  <c r="N19" i="8" s="1"/>
  <c r="L9" i="4"/>
  <c r="L20" i="7"/>
  <c r="L26" i="7" s="1"/>
  <c r="L20" i="4"/>
  <c r="M3" i="7"/>
  <c r="N22" i="6"/>
  <c r="N3" i="6"/>
  <c r="M31" i="7"/>
  <c r="M8" i="5"/>
  <c r="L23" i="7"/>
  <c r="L15" i="7"/>
  <c r="M21" i="7" s="1"/>
  <c r="K23" i="7"/>
  <c r="L12" i="7"/>
  <c r="L24" i="7" s="1"/>
  <c r="M17" i="7"/>
  <c r="M20" i="7"/>
  <c r="M22" i="4"/>
  <c r="O62" i="1"/>
  <c r="M14" i="7"/>
  <c r="M15" i="7"/>
  <c r="M12" i="7"/>
  <c r="P197" i="3"/>
  <c r="N3" i="5"/>
  <c r="D19" i="3"/>
  <c r="E19" i="3" s="1"/>
  <c r="O253" i="1"/>
  <c r="O256" i="1" s="1"/>
  <c r="P11" i="1"/>
  <c r="P69" i="1" s="1"/>
  <c r="O243" i="1"/>
  <c r="O227" i="1"/>
  <c r="O230" i="1"/>
  <c r="O242" i="1"/>
  <c r="O232" i="1"/>
  <c r="O236" i="1"/>
  <c r="O215" i="1"/>
  <c r="O219" i="1"/>
  <c r="O209" i="1"/>
  <c r="O238" i="1"/>
  <c r="O220" i="1"/>
  <c r="O225" i="1"/>
  <c r="O205" i="1"/>
  <c r="O218" i="1"/>
  <c r="O206" i="1"/>
  <c r="O210" i="1"/>
  <c r="O213" i="1"/>
  <c r="O240" i="1"/>
  <c r="O226" i="1"/>
  <c r="O211" i="1"/>
  <c r="O231" i="1"/>
  <c r="O241" i="1"/>
  <c r="O200" i="1"/>
  <c r="O203" i="1"/>
  <c r="O228" i="1"/>
  <c r="O201" i="1"/>
  <c r="O214" i="1"/>
  <c r="O208" i="1"/>
  <c r="O235" i="1"/>
  <c r="O237" i="1"/>
  <c r="O216" i="1"/>
  <c r="O204" i="1"/>
  <c r="O199" i="1"/>
  <c r="O233" i="1"/>
  <c r="O221" i="1"/>
  <c r="O60" i="1"/>
  <c r="O74" i="1"/>
  <c r="N14" i="1"/>
  <c r="O55" i="1"/>
  <c r="P13" i="1"/>
  <c r="O53" i="1"/>
  <c r="Q10" i="1"/>
  <c r="M3" i="2"/>
  <c r="O70" i="1"/>
  <c r="O65" i="1"/>
  <c r="O50" i="1"/>
  <c r="O64" i="1"/>
  <c r="O73" i="1"/>
  <c r="O78" i="1"/>
  <c r="O75" i="1"/>
  <c r="O54" i="1"/>
  <c r="O66" i="1"/>
  <c r="O61" i="1"/>
  <c r="O68" i="1"/>
  <c r="O57" i="1"/>
  <c r="O76" i="1"/>
  <c r="O80" i="1"/>
  <c r="O77" i="1"/>
  <c r="O52" i="1"/>
  <c r="O56" i="1"/>
  <c r="I10" i="2"/>
  <c r="O72" i="1"/>
  <c r="O59" i="1"/>
  <c r="N29" i="6" l="1"/>
  <c r="N24" i="6"/>
  <c r="N15" i="6"/>
  <c r="N10" i="6"/>
  <c r="N6" i="6"/>
  <c r="N28" i="6"/>
  <c r="N5" i="6"/>
  <c r="N31" i="6"/>
  <c r="N26" i="6"/>
  <c r="N13" i="6"/>
  <c r="N19" i="6"/>
  <c r="N14" i="6"/>
  <c r="N9" i="6"/>
  <c r="N18" i="6"/>
  <c r="N8" i="6"/>
  <c r="N30" i="6"/>
  <c r="N25" i="6"/>
  <c r="N7" i="6"/>
  <c r="N17" i="6"/>
  <c r="N11" i="6"/>
  <c r="F30" i="6"/>
  <c r="F31" i="6" s="1"/>
  <c r="F9" i="5" s="1"/>
  <c r="N6" i="7"/>
  <c r="N5" i="7"/>
  <c r="N9" i="7"/>
  <c r="N8" i="7"/>
  <c r="G7" i="6"/>
  <c r="P12" i="1"/>
  <c r="M35" i="7"/>
  <c r="M5" i="2" s="1"/>
  <c r="N33" i="7"/>
  <c r="N34" i="7"/>
  <c r="N35" i="7"/>
  <c r="N5" i="2" s="1"/>
  <c r="N18" i="8"/>
  <c r="O3" i="4"/>
  <c r="O38" i="4" s="1"/>
  <c r="O15" i="8"/>
  <c r="O19" i="8" s="1"/>
  <c r="O3" i="8"/>
  <c r="M9" i="4"/>
  <c r="M20" i="4"/>
  <c r="N8" i="5"/>
  <c r="N3" i="7"/>
  <c r="O22" i="6"/>
  <c r="O3" i="6"/>
  <c r="N31" i="7"/>
  <c r="M26" i="7"/>
  <c r="M18" i="7"/>
  <c r="M24" i="7" s="1"/>
  <c r="M27" i="7"/>
  <c r="L27" i="7"/>
  <c r="M11" i="7"/>
  <c r="M23" i="7" s="1"/>
  <c r="N21" i="7"/>
  <c r="N18" i="7"/>
  <c r="N20" i="7"/>
  <c r="N22" i="4"/>
  <c r="N11" i="7"/>
  <c r="N14" i="7"/>
  <c r="Q197" i="3"/>
  <c r="O3" i="5"/>
  <c r="P56" i="1"/>
  <c r="P66" i="1"/>
  <c r="P74" i="1"/>
  <c r="P75" i="1"/>
  <c r="P78" i="1"/>
  <c r="P73" i="1"/>
  <c r="P55" i="1"/>
  <c r="P59" i="1"/>
  <c r="P57" i="1"/>
  <c r="P50" i="1"/>
  <c r="P54" i="1"/>
  <c r="P62" i="1"/>
  <c r="P80" i="1"/>
  <c r="P64" i="1"/>
  <c r="P60" i="1"/>
  <c r="P76" i="1"/>
  <c r="P72" i="1"/>
  <c r="P65" i="1"/>
  <c r="P77" i="1"/>
  <c r="P53" i="1"/>
  <c r="P68" i="1"/>
  <c r="P61" i="1"/>
  <c r="P70" i="1"/>
  <c r="H19" i="3"/>
  <c r="F19" i="3"/>
  <c r="D20" i="3" s="1"/>
  <c r="E20" i="3" s="1"/>
  <c r="P253" i="1"/>
  <c r="P256" i="1" s="1"/>
  <c r="N3" i="2"/>
  <c r="P236" i="1"/>
  <c r="P240" i="1"/>
  <c r="P219" i="1"/>
  <c r="P220" i="1"/>
  <c r="P218" i="1"/>
  <c r="P231" i="1"/>
  <c r="P225" i="1"/>
  <c r="P228" i="1"/>
  <c r="P242" i="1"/>
  <c r="P201" i="1"/>
  <c r="P235" i="1"/>
  <c r="P237" i="1"/>
  <c r="P216" i="1"/>
  <c r="P243" i="1"/>
  <c r="P227" i="1"/>
  <c r="P233" i="1"/>
  <c r="P226" i="1"/>
  <c r="P206" i="1"/>
  <c r="P215" i="1"/>
  <c r="P209" i="1"/>
  <c r="P208" i="1"/>
  <c r="P199" i="1"/>
  <c r="P221" i="1"/>
  <c r="P214" i="1"/>
  <c r="P241" i="1"/>
  <c r="P200" i="1"/>
  <c r="P210" i="1"/>
  <c r="P238" i="1"/>
  <c r="P213" i="1"/>
  <c r="P211" i="1"/>
  <c r="P204" i="1"/>
  <c r="P230" i="1"/>
  <c r="P203" i="1"/>
  <c r="P232" i="1"/>
  <c r="P205" i="1"/>
  <c r="O14" i="1"/>
  <c r="R10" i="1"/>
  <c r="P52" i="1"/>
  <c r="Q11" i="1"/>
  <c r="Q13" i="1"/>
  <c r="J10" i="2"/>
  <c r="O18" i="6" l="1"/>
  <c r="O30" i="6"/>
  <c r="O25" i="6"/>
  <c r="O17" i="6"/>
  <c r="O7" i="6"/>
  <c r="O28" i="6"/>
  <c r="O19" i="6"/>
  <c r="O14" i="6"/>
  <c r="O9" i="6"/>
  <c r="O5" i="6"/>
  <c r="O31" i="6"/>
  <c r="O26" i="6"/>
  <c r="O13" i="6"/>
  <c r="O8" i="6"/>
  <c r="O11" i="6"/>
  <c r="O10" i="6"/>
  <c r="O29" i="6"/>
  <c r="O6" i="6"/>
  <c r="O24" i="6"/>
  <c r="O15" i="6"/>
  <c r="G9" i="6"/>
  <c r="G11" i="6" s="1"/>
  <c r="O6" i="7"/>
  <c r="O5" i="7"/>
  <c r="O9" i="7"/>
  <c r="O8" i="7"/>
  <c r="G8" i="6"/>
  <c r="Q12" i="1"/>
  <c r="O34" i="7"/>
  <c r="O33" i="7"/>
  <c r="O18" i="8"/>
  <c r="P3" i="4"/>
  <c r="P38" i="4" s="1"/>
  <c r="P15" i="8"/>
  <c r="P19" i="8" s="1"/>
  <c r="P3" i="8"/>
  <c r="N9" i="4"/>
  <c r="N20" i="4"/>
  <c r="N26" i="7"/>
  <c r="N17" i="7"/>
  <c r="N23" i="7" s="1"/>
  <c r="O31" i="7"/>
  <c r="O3" i="7"/>
  <c r="P22" i="6"/>
  <c r="P3" i="6"/>
  <c r="O8" i="5"/>
  <c r="N15" i="7"/>
  <c r="N27" i="7" s="1"/>
  <c r="N12" i="7"/>
  <c r="N24" i="7" s="1"/>
  <c r="O20" i="7"/>
  <c r="O17" i="7"/>
  <c r="O22" i="4"/>
  <c r="O12" i="7"/>
  <c r="R197" i="3"/>
  <c r="P3" i="5"/>
  <c r="Q60" i="1"/>
  <c r="H20" i="3"/>
  <c r="F20" i="3"/>
  <c r="D21" i="3" s="1"/>
  <c r="E21" i="3" s="1"/>
  <c r="O3" i="2"/>
  <c r="Q213" i="1"/>
  <c r="Q215" i="1"/>
  <c r="Q231" i="1"/>
  <c r="Q201" i="1"/>
  <c r="Q211" i="1"/>
  <c r="Q204" i="1"/>
  <c r="Q203" i="1"/>
  <c r="Q205" i="1"/>
  <c r="Q219" i="1"/>
  <c r="Q206" i="1"/>
  <c r="Q228" i="1"/>
  <c r="Q225" i="1"/>
  <c r="Q237" i="1"/>
  <c r="Q240" i="1"/>
  <c r="Q209" i="1"/>
  <c r="Q220" i="1"/>
  <c r="Q199" i="1"/>
  <c r="Q236" i="1"/>
  <c r="Q208" i="1"/>
  <c r="Q226" i="1"/>
  <c r="Q241" i="1"/>
  <c r="Q235" i="1"/>
  <c r="Q227" i="1"/>
  <c r="Q214" i="1"/>
  <c r="Q230" i="1"/>
  <c r="Q243" i="1"/>
  <c r="Q216" i="1"/>
  <c r="Q232" i="1"/>
  <c r="Q242" i="1"/>
  <c r="Q218" i="1"/>
  <c r="Q233" i="1"/>
  <c r="Q210" i="1"/>
  <c r="Q238" i="1"/>
  <c r="Q200" i="1"/>
  <c r="Q221" i="1"/>
  <c r="Q253" i="1"/>
  <c r="Q256" i="1" s="1"/>
  <c r="R13" i="1"/>
  <c r="K10" i="2"/>
  <c r="R11" i="1"/>
  <c r="R12" i="1" s="1"/>
  <c r="S10" i="1"/>
  <c r="P14" i="1"/>
  <c r="Q53" i="1"/>
  <c r="Q57" i="1"/>
  <c r="Q54" i="1"/>
  <c r="Q72" i="1"/>
  <c r="Q75" i="1"/>
  <c r="Q62" i="1"/>
  <c r="Q61" i="1"/>
  <c r="Q78" i="1"/>
  <c r="Q64" i="1"/>
  <c r="Q65" i="1"/>
  <c r="Q80" i="1"/>
  <c r="Q56" i="1"/>
  <c r="Q70" i="1"/>
  <c r="Q50" i="1"/>
  <c r="Q77" i="1"/>
  <c r="Q69" i="1"/>
  <c r="Q76" i="1"/>
  <c r="Q59" i="1"/>
  <c r="Q74" i="1"/>
  <c r="Q55" i="1"/>
  <c r="Q66" i="1"/>
  <c r="Q73" i="1"/>
  <c r="Q68" i="1"/>
  <c r="Q52" i="1"/>
  <c r="G29" i="6" l="1"/>
  <c r="G61" i="4" s="1"/>
  <c r="H10" i="6"/>
  <c r="P28" i="6"/>
  <c r="P19" i="6"/>
  <c r="P14" i="6"/>
  <c r="P9" i="6"/>
  <c r="P5" i="6"/>
  <c r="P13" i="6"/>
  <c r="P8" i="6"/>
  <c r="P17" i="6"/>
  <c r="P7" i="6"/>
  <c r="P31" i="6"/>
  <c r="P26" i="6"/>
  <c r="P18" i="6"/>
  <c r="P30" i="6"/>
  <c r="P25" i="6"/>
  <c r="P11" i="6"/>
  <c r="P29" i="6"/>
  <c r="P24" i="6"/>
  <c r="P10" i="6"/>
  <c r="P6" i="6"/>
  <c r="P15" i="6"/>
  <c r="P8" i="7"/>
  <c r="P5" i="7"/>
  <c r="P9" i="7"/>
  <c r="P6" i="7"/>
  <c r="G26" i="6"/>
  <c r="R69" i="1"/>
  <c r="O35" i="7"/>
  <c r="O5" i="2" s="1"/>
  <c r="P33" i="7"/>
  <c r="P34" i="7"/>
  <c r="P18" i="8"/>
  <c r="Q3" i="4"/>
  <c r="Q38" i="4" s="1"/>
  <c r="Q15" i="8"/>
  <c r="Q19" i="8" s="1"/>
  <c r="Q3" i="8"/>
  <c r="O9" i="4"/>
  <c r="O11" i="7"/>
  <c r="P17" i="7" s="1"/>
  <c r="O18" i="7"/>
  <c r="O24" i="7" s="1"/>
  <c r="O20" i="4"/>
  <c r="Q22" i="6"/>
  <c r="Q3" i="6"/>
  <c r="P3" i="7"/>
  <c r="P31" i="7"/>
  <c r="P8" i="5"/>
  <c r="I61" i="4"/>
  <c r="O21" i="7"/>
  <c r="O14" i="7"/>
  <c r="O26" i="7" s="1"/>
  <c r="O15" i="7"/>
  <c r="P18" i="7"/>
  <c r="P22" i="4"/>
  <c r="R64" i="1"/>
  <c r="P14" i="7"/>
  <c r="R60" i="1"/>
  <c r="S197" i="3"/>
  <c r="Q3" i="5"/>
  <c r="H21" i="3"/>
  <c r="F21" i="3"/>
  <c r="D22" i="3" s="1"/>
  <c r="E22" i="3" s="1"/>
  <c r="R253" i="1"/>
  <c r="R256" i="1" s="1"/>
  <c r="P3" i="2"/>
  <c r="R241" i="1"/>
  <c r="R220" i="1"/>
  <c r="R208" i="1"/>
  <c r="R225" i="1"/>
  <c r="R243" i="1"/>
  <c r="R205" i="1"/>
  <c r="R238" i="1"/>
  <c r="R242" i="1"/>
  <c r="R210" i="1"/>
  <c r="R236" i="1"/>
  <c r="R199" i="1"/>
  <c r="R227" i="1"/>
  <c r="R231" i="1"/>
  <c r="R200" i="1"/>
  <c r="R235" i="1"/>
  <c r="R216" i="1"/>
  <c r="R213" i="1"/>
  <c r="R215" i="1"/>
  <c r="R219" i="1"/>
  <c r="R221" i="1"/>
  <c r="R206" i="1"/>
  <c r="R233" i="1"/>
  <c r="R237" i="1"/>
  <c r="R240" i="1"/>
  <c r="R209" i="1"/>
  <c r="R230" i="1"/>
  <c r="R211" i="1"/>
  <c r="R214" i="1"/>
  <c r="R204" i="1"/>
  <c r="R226" i="1"/>
  <c r="R228" i="1"/>
  <c r="R201" i="1"/>
  <c r="R218" i="1"/>
  <c r="R203" i="1"/>
  <c r="R232" i="1"/>
  <c r="R68" i="1"/>
  <c r="R77" i="1"/>
  <c r="R78" i="1"/>
  <c r="R57" i="1"/>
  <c r="R73" i="1"/>
  <c r="R50" i="1"/>
  <c r="R61" i="1"/>
  <c r="R66" i="1"/>
  <c r="R62" i="1"/>
  <c r="R70" i="1"/>
  <c r="S13" i="1"/>
  <c r="R74" i="1"/>
  <c r="R75" i="1"/>
  <c r="T10" i="1"/>
  <c r="R59" i="1"/>
  <c r="R80" i="1"/>
  <c r="R72" i="1"/>
  <c r="R53" i="1"/>
  <c r="R55" i="1"/>
  <c r="R56" i="1"/>
  <c r="S11" i="1"/>
  <c r="S12" i="1" s="1"/>
  <c r="R76" i="1"/>
  <c r="R65" i="1"/>
  <c r="R54" i="1"/>
  <c r="L10" i="2"/>
  <c r="Q14" i="1"/>
  <c r="R52" i="1"/>
  <c r="Q30" i="6" l="1"/>
  <c r="Q25" i="6"/>
  <c r="Q7" i="6"/>
  <c r="Q29" i="6"/>
  <c r="Q24" i="6"/>
  <c r="Q10" i="6"/>
  <c r="Q31" i="6"/>
  <c r="Q26" i="6"/>
  <c r="Q18" i="6"/>
  <c r="Q13" i="6"/>
  <c r="Q8" i="6"/>
  <c r="Q17" i="6"/>
  <c r="Q11" i="6"/>
  <c r="Q15" i="6"/>
  <c r="Q6" i="6"/>
  <c r="Q19" i="6"/>
  <c r="Q14" i="6"/>
  <c r="Q28" i="6"/>
  <c r="Q9" i="6"/>
  <c r="Q5" i="6"/>
  <c r="Q5" i="7"/>
  <c r="Q8" i="7"/>
  <c r="Q6" i="7"/>
  <c r="Q9" i="7"/>
  <c r="G23" i="4"/>
  <c r="G30" i="6"/>
  <c r="G31" i="6" s="1"/>
  <c r="G9" i="5" s="1"/>
  <c r="H28" i="6"/>
  <c r="H59" i="4" s="1"/>
  <c r="H7" i="6"/>
  <c r="H9" i="6" s="1"/>
  <c r="P35" i="7"/>
  <c r="P5" i="2" s="1"/>
  <c r="Q33" i="7"/>
  <c r="Q34" i="7"/>
  <c r="Q52" i="4"/>
  <c r="Q56" i="4" s="1"/>
  <c r="Q18" i="8"/>
  <c r="R3" i="4"/>
  <c r="R63" i="4" s="1"/>
  <c r="R15" i="8"/>
  <c r="R19" i="8" s="1"/>
  <c r="R3" i="8"/>
  <c r="P9" i="4"/>
  <c r="P20" i="7"/>
  <c r="P26" i="7" s="1"/>
  <c r="O27" i="7"/>
  <c r="P20" i="4"/>
  <c r="O23" i="7"/>
  <c r="Q3" i="7"/>
  <c r="R22" i="6"/>
  <c r="R3" i="6"/>
  <c r="Q31" i="7"/>
  <c r="Q8" i="5"/>
  <c r="P11" i="7"/>
  <c r="Q17" i="7" s="1"/>
  <c r="Q20" i="7"/>
  <c r="P15" i="7"/>
  <c r="P21" i="7"/>
  <c r="P12" i="7"/>
  <c r="P24" i="7" s="1"/>
  <c r="Q22" i="4"/>
  <c r="Q12" i="7"/>
  <c r="Q14" i="7"/>
  <c r="Q15" i="7"/>
  <c r="T197" i="3"/>
  <c r="R3" i="5"/>
  <c r="S72" i="1"/>
  <c r="H22" i="3"/>
  <c r="F22" i="3"/>
  <c r="D23" i="3" s="1"/>
  <c r="E23" i="3" s="1"/>
  <c r="S253" i="1"/>
  <c r="S256" i="1" s="1"/>
  <c r="Q3" i="2"/>
  <c r="S215" i="1"/>
  <c r="S208" i="1"/>
  <c r="S233" i="1"/>
  <c r="S225" i="1"/>
  <c r="S205" i="1"/>
  <c r="S242" i="1"/>
  <c r="S221" i="1"/>
  <c r="S231" i="1"/>
  <c r="S214" i="1"/>
  <c r="S218" i="1"/>
  <c r="S240" i="1"/>
  <c r="S243" i="1"/>
  <c r="S211" i="1"/>
  <c r="S206" i="1"/>
  <c r="S199" i="1"/>
  <c r="S204" i="1"/>
  <c r="S228" i="1"/>
  <c r="S232" i="1"/>
  <c r="S201" i="1"/>
  <c r="S237" i="1"/>
  <c r="S236" i="1"/>
  <c r="S216" i="1"/>
  <c r="S220" i="1"/>
  <c r="S209" i="1"/>
  <c r="S238" i="1"/>
  <c r="S200" i="1"/>
  <c r="S213" i="1"/>
  <c r="S227" i="1"/>
  <c r="S241" i="1"/>
  <c r="S210" i="1"/>
  <c r="S203" i="1"/>
  <c r="S219" i="1"/>
  <c r="S230" i="1"/>
  <c r="S226" i="1"/>
  <c r="S235" i="1"/>
  <c r="S64" i="1"/>
  <c r="S77" i="1"/>
  <c r="S76" i="1"/>
  <c r="S50" i="1"/>
  <c r="S70" i="1"/>
  <c r="S53" i="1"/>
  <c r="S55" i="1"/>
  <c r="S75" i="1"/>
  <c r="S74" i="1"/>
  <c r="S57" i="1"/>
  <c r="S62" i="1"/>
  <c r="S68" i="1"/>
  <c r="S73" i="1"/>
  <c r="T11" i="1"/>
  <c r="T12" i="1" s="1"/>
  <c r="S80" i="1"/>
  <c r="S65" i="1"/>
  <c r="S59" i="1"/>
  <c r="S54" i="1"/>
  <c r="S52" i="1"/>
  <c r="T13" i="1"/>
  <c r="S78" i="1"/>
  <c r="S60" i="1"/>
  <c r="S56" i="1"/>
  <c r="S69" i="1"/>
  <c r="S61" i="1"/>
  <c r="S66" i="1"/>
  <c r="M10" i="2"/>
  <c r="R14" i="1"/>
  <c r="R31" i="6" l="1"/>
  <c r="R26" i="6"/>
  <c r="R18" i="6"/>
  <c r="R13" i="6"/>
  <c r="R8" i="6"/>
  <c r="R30" i="6"/>
  <c r="R25" i="6"/>
  <c r="R17" i="6"/>
  <c r="R24" i="6"/>
  <c r="R10" i="6"/>
  <c r="R19" i="6"/>
  <c r="R11" i="6"/>
  <c r="R7" i="6"/>
  <c r="R29" i="6"/>
  <c r="R15" i="6"/>
  <c r="R6" i="6"/>
  <c r="R28" i="6"/>
  <c r="R14" i="6"/>
  <c r="R9" i="6"/>
  <c r="R5" i="6"/>
  <c r="H11" i="6"/>
  <c r="H29" i="6" s="1"/>
  <c r="H61" i="4" s="1"/>
  <c r="H8" i="6"/>
  <c r="Q35" i="7"/>
  <c r="Q5" i="2" s="1"/>
  <c r="J59" i="4"/>
  <c r="R38" i="4"/>
  <c r="R52" i="4"/>
  <c r="R56" i="4" s="1"/>
  <c r="I9" i="5"/>
  <c r="I23" i="4"/>
  <c r="Q9" i="4"/>
  <c r="Q20" i="4"/>
  <c r="R8" i="5"/>
  <c r="P27" i="7"/>
  <c r="P23" i="7"/>
  <c r="Q26" i="7"/>
  <c r="Q21" i="7"/>
  <c r="Q27" i="7" s="1"/>
  <c r="Q11" i="7"/>
  <c r="Q23" i="7" s="1"/>
  <c r="Q18" i="7"/>
  <c r="Q24" i="7" s="1"/>
  <c r="R22" i="4"/>
  <c r="T60" i="1"/>
  <c r="T50" i="1"/>
  <c r="T72" i="1"/>
  <c r="T69" i="1"/>
  <c r="H23" i="3"/>
  <c r="F23" i="3"/>
  <c r="D24" i="3" s="1"/>
  <c r="E24" i="3" s="1"/>
  <c r="T65" i="1"/>
  <c r="T75" i="1"/>
  <c r="T61" i="1"/>
  <c r="T253" i="1"/>
  <c r="T256" i="1" s="1"/>
  <c r="T56" i="1"/>
  <c r="T73" i="1"/>
  <c r="T70" i="1"/>
  <c r="T77" i="1"/>
  <c r="T80" i="1"/>
  <c r="T55" i="1"/>
  <c r="T68" i="1"/>
  <c r="T64" i="1"/>
  <c r="T76" i="1"/>
  <c r="T54" i="1"/>
  <c r="T53" i="1"/>
  <c r="T52" i="1"/>
  <c r="T57" i="1"/>
  <c r="T78" i="1"/>
  <c r="T59" i="1"/>
  <c r="T62" i="1"/>
  <c r="T74" i="1"/>
  <c r="T66" i="1"/>
  <c r="S14" i="1"/>
  <c r="N10" i="2"/>
  <c r="I59" i="4" l="1"/>
  <c r="H26" i="6"/>
  <c r="J61" i="4"/>
  <c r="R9" i="4"/>
  <c r="R20" i="4"/>
  <c r="H24" i="3"/>
  <c r="F24" i="3"/>
  <c r="D25" i="3" s="1"/>
  <c r="E25" i="3" s="1"/>
  <c r="T14" i="1"/>
  <c r="O10" i="2"/>
  <c r="H30" i="6" l="1"/>
  <c r="H31" i="6" s="1"/>
  <c r="H9" i="5" s="1"/>
  <c r="H23" i="4"/>
  <c r="H25" i="3"/>
  <c r="F25" i="3"/>
  <c r="D26" i="3" s="1"/>
  <c r="E26" i="3" s="1"/>
  <c r="P10" i="2"/>
  <c r="H26" i="3" l="1"/>
  <c r="F26" i="3"/>
  <c r="E199" i="3" s="1"/>
  <c r="Q10" i="2"/>
  <c r="K59" i="4" l="1"/>
  <c r="J9" i="5"/>
  <c r="J23" i="4"/>
  <c r="D27" i="3"/>
  <c r="F200" i="3" l="1"/>
  <c r="D12" i="5" s="1"/>
  <c r="C63" i="4"/>
  <c r="C70" i="4" s="1"/>
  <c r="E27" i="3"/>
  <c r="E198" i="3"/>
  <c r="K61" i="4" l="1"/>
  <c r="C12" i="5"/>
  <c r="C13" i="5" s="1"/>
  <c r="C15" i="5" s="1"/>
  <c r="C18" i="5" s="1"/>
  <c r="C30" i="4" s="1"/>
  <c r="C31" i="4" s="1"/>
  <c r="C33" i="4" s="1"/>
  <c r="C52" i="4"/>
  <c r="H27" i="3"/>
  <c r="F27" i="3"/>
  <c r="K9" i="5" l="1"/>
  <c r="K23" i="4"/>
  <c r="L59" i="4"/>
  <c r="C56" i="4"/>
  <c r="C71" i="4" s="1"/>
  <c r="C72" i="4" s="1"/>
  <c r="C74" i="4" s="1"/>
  <c r="D6" i="8"/>
  <c r="D28" i="3"/>
  <c r="E28" i="3" s="1"/>
  <c r="D7" i="8" l="1"/>
  <c r="D8" i="8" s="1"/>
  <c r="H28" i="3"/>
  <c r="F28" i="3"/>
  <c r="L61" i="4" l="1"/>
  <c r="D9" i="8"/>
  <c r="D29" i="3"/>
  <c r="E29" i="3" s="1"/>
  <c r="L9" i="5" l="1"/>
  <c r="L23" i="4"/>
  <c r="M59" i="4"/>
  <c r="H29" i="3"/>
  <c r="F29" i="3"/>
  <c r="D30" i="3" l="1"/>
  <c r="E30" i="3" s="1"/>
  <c r="M61" i="4" l="1"/>
  <c r="H30" i="3"/>
  <c r="F30" i="3"/>
  <c r="N59" i="4" l="1"/>
  <c r="M9" i="5"/>
  <c r="M23" i="4"/>
  <c r="D31" i="3"/>
  <c r="E31" i="3" s="1"/>
  <c r="H31" i="3" l="1"/>
  <c r="F31" i="3"/>
  <c r="D32" i="3" s="1"/>
  <c r="E32" i="3" s="1"/>
  <c r="N61" i="4" l="1"/>
  <c r="H32" i="3"/>
  <c r="F32" i="3"/>
  <c r="D33" i="3" s="1"/>
  <c r="E33" i="3" s="1"/>
  <c r="O59" i="4" l="1"/>
  <c r="N9" i="5"/>
  <c r="N23" i="4"/>
  <c r="H33" i="3"/>
  <c r="F33" i="3"/>
  <c r="D34" i="3" s="1"/>
  <c r="E34" i="3" s="1"/>
  <c r="H34" i="3" l="1"/>
  <c r="F34" i="3"/>
  <c r="D35" i="3" s="1"/>
  <c r="E35" i="3" s="1"/>
  <c r="O61" i="4" l="1"/>
  <c r="H35" i="3"/>
  <c r="F35" i="3"/>
  <c r="D36" i="3" s="1"/>
  <c r="E36" i="3" s="1"/>
  <c r="P59" i="4" l="1"/>
  <c r="O9" i="5"/>
  <c r="O23" i="4"/>
  <c r="H36" i="3"/>
  <c r="F36" i="3"/>
  <c r="D37" i="3" s="1"/>
  <c r="E37" i="3" s="1"/>
  <c r="H37" i="3" l="1"/>
  <c r="F37" i="3"/>
  <c r="D38" i="3" s="1"/>
  <c r="E38" i="3" s="1"/>
  <c r="G201" i="3" s="1"/>
  <c r="P61" i="4" l="1"/>
  <c r="H38" i="3"/>
  <c r="F38" i="3"/>
  <c r="F199" i="3" s="1"/>
  <c r="P9" i="5" l="1"/>
  <c r="P23" i="4"/>
  <c r="Q59" i="4"/>
  <c r="G202" i="3"/>
  <c r="D13" i="2" s="1"/>
  <c r="G200" i="3"/>
  <c r="E12" i="5" s="1"/>
  <c r="D63" i="4"/>
  <c r="D70" i="4" s="1"/>
  <c r="F198" i="3"/>
  <c r="D39" i="3"/>
  <c r="D52" i="4" l="1"/>
  <c r="E39" i="3"/>
  <c r="Q61" i="4" l="1"/>
  <c r="D56" i="4"/>
  <c r="D71" i="4" s="1"/>
  <c r="E6" i="8"/>
  <c r="H39" i="3"/>
  <c r="F39" i="3"/>
  <c r="R59" i="4" l="1"/>
  <c r="Q23" i="4"/>
  <c r="Q9" i="5"/>
  <c r="D40" i="3"/>
  <c r="E40" i="3" s="1"/>
  <c r="R61" i="4" l="1"/>
  <c r="R70" i="4" s="1"/>
  <c r="R71" i="4" s="1"/>
  <c r="H40" i="3"/>
  <c r="F40" i="3"/>
  <c r="R23" i="4" l="1"/>
  <c r="R9" i="5"/>
  <c r="D41" i="3"/>
  <c r="E41" i="3" s="1"/>
  <c r="H41" i="3" l="1"/>
  <c r="F41" i="3"/>
  <c r="D42" i="3" l="1"/>
  <c r="E42" i="3" s="1"/>
  <c r="H42" i="3" l="1"/>
  <c r="F42" i="3"/>
  <c r="D43" i="3" l="1"/>
  <c r="E43" i="3" s="1"/>
  <c r="H43" i="3" l="1"/>
  <c r="F43" i="3"/>
  <c r="D44" i="3" s="1"/>
  <c r="E44" i="3" s="1"/>
  <c r="H44" i="3" l="1"/>
  <c r="F44" i="3"/>
  <c r="D45" i="3" s="1"/>
  <c r="E45" i="3" s="1"/>
  <c r="H45" i="3" l="1"/>
  <c r="F45" i="3"/>
  <c r="D46" i="3" s="1"/>
  <c r="E46" i="3" s="1"/>
  <c r="H46" i="3" l="1"/>
  <c r="F46" i="3"/>
  <c r="D47" i="3" s="1"/>
  <c r="E47" i="3" s="1"/>
  <c r="H47" i="3" l="1"/>
  <c r="F47" i="3"/>
  <c r="D48" i="3" s="1"/>
  <c r="E48" i="3" s="1"/>
  <c r="H48" i="3" l="1"/>
  <c r="F48" i="3"/>
  <c r="D49" i="3" s="1"/>
  <c r="E49" i="3" s="1"/>
  <c r="H49" i="3" l="1"/>
  <c r="F49" i="3"/>
  <c r="D50" i="3" s="1"/>
  <c r="E50" i="3" s="1"/>
  <c r="H201" i="3" s="1"/>
  <c r="H50" i="3" l="1"/>
  <c r="F50" i="3"/>
  <c r="G199" i="3" s="1"/>
  <c r="H202" i="3" l="1"/>
  <c r="E13" i="2" s="1"/>
  <c r="H200" i="3"/>
  <c r="F12" i="5" s="1"/>
  <c r="E63" i="4"/>
  <c r="E70" i="4" s="1"/>
  <c r="G198" i="3"/>
  <c r="D51" i="3"/>
  <c r="E52" i="4" l="1"/>
  <c r="E51" i="3"/>
  <c r="E56" i="4" l="1"/>
  <c r="E71" i="4" s="1"/>
  <c r="F6" i="8"/>
  <c r="H51" i="3"/>
  <c r="F51" i="3"/>
  <c r="D52" i="3" l="1"/>
  <c r="E52" i="3" s="1"/>
  <c r="H52" i="3" l="1"/>
  <c r="F52" i="3"/>
  <c r="D53" i="3" l="1"/>
  <c r="E53" i="3" s="1"/>
  <c r="H53" i="3" l="1"/>
  <c r="F53" i="3"/>
  <c r="D54" i="3" l="1"/>
  <c r="E54" i="3" s="1"/>
  <c r="H54" i="3" l="1"/>
  <c r="F54" i="3"/>
  <c r="D55" i="3" l="1"/>
  <c r="E55" i="3" s="1"/>
  <c r="H55" i="3" l="1"/>
  <c r="F55" i="3"/>
  <c r="D56" i="3" s="1"/>
  <c r="E56" i="3" s="1"/>
  <c r="H56" i="3" l="1"/>
  <c r="F56" i="3"/>
  <c r="D57" i="3" s="1"/>
  <c r="E57" i="3" s="1"/>
  <c r="H57" i="3" l="1"/>
  <c r="F57" i="3"/>
  <c r="D58" i="3" s="1"/>
  <c r="E58" i="3" s="1"/>
  <c r="H58" i="3" l="1"/>
  <c r="F58" i="3"/>
  <c r="D59" i="3" s="1"/>
  <c r="E59" i="3" s="1"/>
  <c r="H59" i="3" l="1"/>
  <c r="F59" i="3"/>
  <c r="D60" i="3" s="1"/>
  <c r="E60" i="3" s="1"/>
  <c r="H60" i="3" l="1"/>
  <c r="F60" i="3"/>
  <c r="D61" i="3" s="1"/>
  <c r="E61" i="3" s="1"/>
  <c r="H61" i="3" l="1"/>
  <c r="F61" i="3"/>
  <c r="D62" i="3" s="1"/>
  <c r="E62" i="3" s="1"/>
  <c r="I201" i="3" s="1"/>
  <c r="H62" i="3" l="1"/>
  <c r="F62" i="3"/>
  <c r="H199" i="3" s="1"/>
  <c r="I202" i="3" l="1"/>
  <c r="F13" i="2" s="1"/>
  <c r="I200" i="3"/>
  <c r="G12" i="5" s="1"/>
  <c r="F63" i="4"/>
  <c r="F70" i="4" s="1"/>
  <c r="H198" i="3"/>
  <c r="D63" i="3"/>
  <c r="F52" i="4" l="1"/>
  <c r="E63" i="3"/>
  <c r="F56" i="4" l="1"/>
  <c r="F71" i="4" s="1"/>
  <c r="G6" i="8"/>
  <c r="H63" i="3"/>
  <c r="F63" i="3"/>
  <c r="D64" i="3" l="1"/>
  <c r="E64" i="3" s="1"/>
  <c r="H64" i="3" l="1"/>
  <c r="F64" i="3"/>
  <c r="D65" i="3" l="1"/>
  <c r="E65" i="3" s="1"/>
  <c r="H65" i="3" l="1"/>
  <c r="F65" i="3"/>
  <c r="D66" i="3" l="1"/>
  <c r="E66" i="3" s="1"/>
  <c r="H66" i="3" l="1"/>
  <c r="F66" i="3"/>
  <c r="D67" i="3" l="1"/>
  <c r="E67" i="3" s="1"/>
  <c r="H67" i="3" l="1"/>
  <c r="F67" i="3"/>
  <c r="D68" i="3" s="1"/>
  <c r="E68" i="3" s="1"/>
  <c r="H68" i="3" l="1"/>
  <c r="F68" i="3"/>
  <c r="D69" i="3" s="1"/>
  <c r="E69" i="3" s="1"/>
  <c r="H69" i="3" l="1"/>
  <c r="F69" i="3"/>
  <c r="D70" i="3" s="1"/>
  <c r="E70" i="3" s="1"/>
  <c r="H70" i="3" l="1"/>
  <c r="F70" i="3"/>
  <c r="D71" i="3" s="1"/>
  <c r="E71" i="3" s="1"/>
  <c r="H71" i="3" l="1"/>
  <c r="F71" i="3"/>
  <c r="D72" i="3" s="1"/>
  <c r="E72" i="3" s="1"/>
  <c r="H72" i="3" l="1"/>
  <c r="F72" i="3"/>
  <c r="D73" i="3" s="1"/>
  <c r="E73" i="3" s="1"/>
  <c r="H73" i="3" l="1"/>
  <c r="F73" i="3"/>
  <c r="D74" i="3" s="1"/>
  <c r="E74" i="3" s="1"/>
  <c r="J201" i="3" s="1"/>
  <c r="H74" i="3" l="1"/>
  <c r="F74" i="3"/>
  <c r="I199" i="3" s="1"/>
  <c r="J202" i="3" l="1"/>
  <c r="G13" i="2" s="1"/>
  <c r="J200" i="3"/>
  <c r="H12" i="5" s="1"/>
  <c r="G63" i="4"/>
  <c r="G70" i="4" s="1"/>
  <c r="D75" i="3"/>
  <c r="E75" i="3" l="1"/>
  <c r="I198" i="3"/>
  <c r="G52" i="4" l="1"/>
  <c r="H75" i="3"/>
  <c r="F75" i="3"/>
  <c r="G56" i="4" l="1"/>
  <c r="G71" i="4" s="1"/>
  <c r="H6" i="8"/>
  <c r="D76" i="3"/>
  <c r="E76" i="3" s="1"/>
  <c r="H76" i="3" l="1"/>
  <c r="F76" i="3"/>
  <c r="D77" i="3" l="1"/>
  <c r="E77" i="3" s="1"/>
  <c r="H77" i="3" l="1"/>
  <c r="F77" i="3"/>
  <c r="D78" i="3" l="1"/>
  <c r="E78" i="3" s="1"/>
  <c r="H78" i="3" l="1"/>
  <c r="F78" i="3"/>
  <c r="D79" i="3" l="1"/>
  <c r="E79" i="3" s="1"/>
  <c r="H79" i="3" l="1"/>
  <c r="F79" i="3"/>
  <c r="D80" i="3" l="1"/>
  <c r="E80" i="3" s="1"/>
  <c r="H80" i="3" l="1"/>
  <c r="F80" i="3"/>
  <c r="D81" i="3" s="1"/>
  <c r="E81" i="3" s="1"/>
  <c r="H81" i="3" l="1"/>
  <c r="F81" i="3"/>
  <c r="D82" i="3" s="1"/>
  <c r="E82" i="3" s="1"/>
  <c r="H82" i="3" l="1"/>
  <c r="F82" i="3"/>
  <c r="D83" i="3" s="1"/>
  <c r="E83" i="3" s="1"/>
  <c r="H83" i="3" l="1"/>
  <c r="F83" i="3"/>
  <c r="D84" i="3" s="1"/>
  <c r="E84" i="3" s="1"/>
  <c r="H84" i="3" l="1"/>
  <c r="F84" i="3"/>
  <c r="D85" i="3" s="1"/>
  <c r="E85" i="3" s="1"/>
  <c r="H85" i="3" l="1"/>
  <c r="F85" i="3"/>
  <c r="D86" i="3" s="1"/>
  <c r="E86" i="3" s="1"/>
  <c r="K201" i="3" s="1"/>
  <c r="H86" i="3" l="1"/>
  <c r="F86" i="3"/>
  <c r="J199" i="3" s="1"/>
  <c r="K202" i="3" l="1"/>
  <c r="H13" i="2" s="1"/>
  <c r="K200" i="3"/>
  <c r="I12" i="5" s="1"/>
  <c r="H63" i="4"/>
  <c r="H70" i="4" s="1"/>
  <c r="D87" i="3"/>
  <c r="J198" i="3" l="1"/>
  <c r="E87" i="3"/>
  <c r="H52" i="4" l="1"/>
  <c r="H87" i="3"/>
  <c r="F87" i="3"/>
  <c r="H56" i="4" l="1"/>
  <c r="H71" i="4" s="1"/>
  <c r="I6" i="8"/>
  <c r="D88" i="3"/>
  <c r="E88" i="3" s="1"/>
  <c r="H88" i="3" l="1"/>
  <c r="F88" i="3"/>
  <c r="D89" i="3" l="1"/>
  <c r="E89" i="3" s="1"/>
  <c r="H89" i="3" l="1"/>
  <c r="F89" i="3"/>
  <c r="D90" i="3" l="1"/>
  <c r="E90" i="3" s="1"/>
  <c r="H90" i="3" l="1"/>
  <c r="F90" i="3"/>
  <c r="D91" i="3" l="1"/>
  <c r="E91" i="3" s="1"/>
  <c r="H91" i="3" l="1"/>
  <c r="F91" i="3"/>
  <c r="D92" i="3" l="1"/>
  <c r="E92" i="3" s="1"/>
  <c r="H92" i="3" l="1"/>
  <c r="F92" i="3"/>
  <c r="D93" i="3" s="1"/>
  <c r="E93" i="3" s="1"/>
  <c r="H93" i="3" l="1"/>
  <c r="F93" i="3"/>
  <c r="D94" i="3" s="1"/>
  <c r="E94" i="3" s="1"/>
  <c r="H94" i="3" l="1"/>
  <c r="F94" i="3"/>
  <c r="D95" i="3" s="1"/>
  <c r="E95" i="3" s="1"/>
  <c r="H95" i="3" l="1"/>
  <c r="F95" i="3"/>
  <c r="D96" i="3" s="1"/>
  <c r="E96" i="3" s="1"/>
  <c r="H96" i="3" l="1"/>
  <c r="F96" i="3"/>
  <c r="D97" i="3" s="1"/>
  <c r="E97" i="3" s="1"/>
  <c r="H97" i="3" l="1"/>
  <c r="F97" i="3"/>
  <c r="D98" i="3" s="1"/>
  <c r="E98" i="3" s="1"/>
  <c r="L201" i="3" s="1"/>
  <c r="H98" i="3" l="1"/>
  <c r="F98" i="3"/>
  <c r="K199" i="3" s="1"/>
  <c r="L202" i="3" l="1"/>
  <c r="I13" i="2" s="1"/>
  <c r="L200" i="3"/>
  <c r="J12" i="5" s="1"/>
  <c r="I63" i="4"/>
  <c r="I70" i="4" s="1"/>
  <c r="D99" i="3"/>
  <c r="K198" i="3" l="1"/>
  <c r="E99" i="3"/>
  <c r="I52" i="4" l="1"/>
  <c r="H99" i="3"/>
  <c r="F99" i="3"/>
  <c r="I56" i="4" l="1"/>
  <c r="I71" i="4" s="1"/>
  <c r="J6" i="8"/>
  <c r="D100" i="3"/>
  <c r="E100" i="3" s="1"/>
  <c r="E197" i="3"/>
  <c r="H100" i="3" l="1"/>
  <c r="F100" i="3"/>
  <c r="D101" i="3" l="1"/>
  <c r="E101" i="3" s="1"/>
  <c r="H101" i="3" l="1"/>
  <c r="F101" i="3"/>
  <c r="D102" i="3" l="1"/>
  <c r="E102" i="3" s="1"/>
  <c r="H102" i="3" l="1"/>
  <c r="F102" i="3"/>
  <c r="D103" i="3" l="1"/>
  <c r="E103" i="3" s="1"/>
  <c r="H103" i="3" l="1"/>
  <c r="F103" i="3"/>
  <c r="D104" i="3" l="1"/>
  <c r="E104" i="3" s="1"/>
  <c r="H104" i="3" l="1"/>
  <c r="F104" i="3"/>
  <c r="D105" i="3" s="1"/>
  <c r="E105" i="3" s="1"/>
  <c r="H105" i="3" l="1"/>
  <c r="F105" i="3"/>
  <c r="D106" i="3" s="1"/>
  <c r="E106" i="3" s="1"/>
  <c r="H106" i="3" l="1"/>
  <c r="F106" i="3"/>
  <c r="D107" i="3" s="1"/>
  <c r="E107" i="3" s="1"/>
  <c r="H107" i="3" l="1"/>
  <c r="F107" i="3"/>
  <c r="D108" i="3" s="1"/>
  <c r="E108" i="3" s="1"/>
  <c r="H108" i="3" l="1"/>
  <c r="F108" i="3"/>
  <c r="D109" i="3" s="1"/>
  <c r="E109" i="3" s="1"/>
  <c r="H109" i="3" l="1"/>
  <c r="F109" i="3"/>
  <c r="D110" i="3" s="1"/>
  <c r="E110" i="3" s="1"/>
  <c r="M201" i="3" s="1"/>
  <c r="H110" i="3" l="1"/>
  <c r="F110" i="3"/>
  <c r="L199" i="3" s="1"/>
  <c r="M200" i="3" l="1"/>
  <c r="K12" i="5" s="1"/>
  <c r="J63" i="4"/>
  <c r="J70" i="4" s="1"/>
  <c r="M202" i="3"/>
  <c r="D111" i="3"/>
  <c r="J13" i="2" l="1"/>
  <c r="E111" i="3"/>
  <c r="L198" i="3"/>
  <c r="J52" i="4" l="1"/>
  <c r="H111" i="3"/>
  <c r="F111" i="3"/>
  <c r="J56" i="4" l="1"/>
  <c r="J71" i="4" s="1"/>
  <c r="K6" i="8"/>
  <c r="D112" i="3"/>
  <c r="E112" i="3" s="1"/>
  <c r="H112" i="3" l="1"/>
  <c r="F112" i="3"/>
  <c r="D113" i="3" l="1"/>
  <c r="E113" i="3" s="1"/>
  <c r="H113" i="3" l="1"/>
  <c r="F113" i="3"/>
  <c r="D114" i="3" l="1"/>
  <c r="E114" i="3" s="1"/>
  <c r="H114" i="3" l="1"/>
  <c r="F114" i="3"/>
  <c r="D115" i="3" l="1"/>
  <c r="E115" i="3" s="1"/>
  <c r="H115" i="3" l="1"/>
  <c r="F115" i="3"/>
  <c r="D116" i="3" l="1"/>
  <c r="E116" i="3" s="1"/>
  <c r="H116" i="3" l="1"/>
  <c r="F116" i="3"/>
  <c r="D117" i="3" s="1"/>
  <c r="E117" i="3" s="1"/>
  <c r="H117" i="3" l="1"/>
  <c r="F117" i="3"/>
  <c r="D118" i="3" s="1"/>
  <c r="E118" i="3" s="1"/>
  <c r="H118" i="3" l="1"/>
  <c r="F118" i="3"/>
  <c r="D119" i="3" s="1"/>
  <c r="E119" i="3" s="1"/>
  <c r="H119" i="3" l="1"/>
  <c r="F119" i="3"/>
  <c r="D120" i="3" s="1"/>
  <c r="E120" i="3" s="1"/>
  <c r="H120" i="3" l="1"/>
  <c r="F120" i="3"/>
  <c r="D121" i="3" s="1"/>
  <c r="E121" i="3" s="1"/>
  <c r="H121" i="3" l="1"/>
  <c r="F121" i="3"/>
  <c r="D122" i="3" s="1"/>
  <c r="E122" i="3" s="1"/>
  <c r="N201" i="3" s="1"/>
  <c r="H122" i="3" l="1"/>
  <c r="F122" i="3"/>
  <c r="M199" i="3" s="1"/>
  <c r="N202" i="3" l="1"/>
  <c r="K13" i="2" s="1"/>
  <c r="N200" i="3"/>
  <c r="L12" i="5" s="1"/>
  <c r="K63" i="4"/>
  <c r="K70" i="4" s="1"/>
  <c r="D123" i="3"/>
  <c r="E123" i="3" l="1"/>
  <c r="M198" i="3"/>
  <c r="K52" i="4" l="1"/>
  <c r="H123" i="3"/>
  <c r="F123" i="3"/>
  <c r="K56" i="4" l="1"/>
  <c r="K71" i="4" s="1"/>
  <c r="L6" i="8"/>
  <c r="D124" i="3"/>
  <c r="E124" i="3" s="1"/>
  <c r="H124" i="3" l="1"/>
  <c r="F124" i="3"/>
  <c r="D125" i="3" l="1"/>
  <c r="E125" i="3" s="1"/>
  <c r="H125" i="3" l="1"/>
  <c r="F125" i="3"/>
  <c r="D126" i="3" l="1"/>
  <c r="E126" i="3" s="1"/>
  <c r="H126" i="3" l="1"/>
  <c r="F126" i="3"/>
  <c r="D127" i="3" l="1"/>
  <c r="E127" i="3" s="1"/>
  <c r="H127" i="3" l="1"/>
  <c r="F127" i="3"/>
  <c r="D128" i="3" l="1"/>
  <c r="E128" i="3" s="1"/>
  <c r="H128" i="3" l="1"/>
  <c r="F128" i="3"/>
  <c r="D129" i="3" s="1"/>
  <c r="E129" i="3" l="1"/>
  <c r="H129" i="3" l="1"/>
  <c r="F129" i="3"/>
  <c r="D130" i="3" s="1"/>
  <c r="E130" i="3" l="1"/>
  <c r="H130" i="3" l="1"/>
  <c r="F130" i="3"/>
  <c r="D131" i="3" s="1"/>
  <c r="E131" i="3" l="1"/>
  <c r="H131" i="3" l="1"/>
  <c r="F131" i="3"/>
  <c r="D132" i="3" s="1"/>
  <c r="E132" i="3" l="1"/>
  <c r="H132" i="3" l="1"/>
  <c r="F132" i="3"/>
  <c r="D133" i="3" s="1"/>
  <c r="E133" i="3" s="1"/>
  <c r="H133" i="3" l="1"/>
  <c r="F133" i="3"/>
  <c r="D134" i="3" s="1"/>
  <c r="E134" i="3" l="1"/>
  <c r="O201" i="3" s="1"/>
  <c r="H134" i="3" l="1"/>
  <c r="F134" i="3"/>
  <c r="N199" i="3" s="1"/>
  <c r="O202" i="3" l="1"/>
  <c r="L13" i="2" s="1"/>
  <c r="O200" i="3"/>
  <c r="M12" i="5" s="1"/>
  <c r="L63" i="4"/>
  <c r="L70" i="4" s="1"/>
  <c r="D135" i="3"/>
  <c r="N198" i="3" l="1"/>
  <c r="E135" i="3"/>
  <c r="L52" i="4" l="1"/>
  <c r="H135" i="3"/>
  <c r="F135" i="3"/>
  <c r="L56" i="4" l="1"/>
  <c r="L71" i="4" s="1"/>
  <c r="M6" i="8"/>
  <c r="D136" i="3"/>
  <c r="E136" i="3" l="1"/>
  <c r="F136" i="3" l="1"/>
  <c r="H136" i="3"/>
  <c r="D137" i="3" l="1"/>
  <c r="E137" i="3" l="1"/>
  <c r="H137" i="3" l="1"/>
  <c r="F137" i="3"/>
  <c r="D138" i="3" l="1"/>
  <c r="E138" i="3" l="1"/>
  <c r="H138" i="3" l="1"/>
  <c r="F138" i="3"/>
  <c r="D139" i="3" l="1"/>
  <c r="E139" i="3" s="1"/>
  <c r="H139" i="3" l="1"/>
  <c r="F139" i="3"/>
  <c r="D140" i="3" l="1"/>
  <c r="E140" i="3" l="1"/>
  <c r="H140" i="3" l="1"/>
  <c r="F140" i="3"/>
  <c r="D141" i="3" s="1"/>
  <c r="E141" i="3" s="1"/>
  <c r="H141" i="3" l="1"/>
  <c r="F141" i="3"/>
  <c r="D142" i="3" s="1"/>
  <c r="E142" i="3" l="1"/>
  <c r="H142" i="3" l="1"/>
  <c r="F142" i="3"/>
  <c r="D143" i="3" s="1"/>
  <c r="E143" i="3" s="1"/>
  <c r="H143" i="3" l="1"/>
  <c r="F143" i="3"/>
  <c r="D144" i="3" s="1"/>
  <c r="E144" i="3" s="1"/>
  <c r="F144" i="3" l="1"/>
  <c r="D145" i="3" s="1"/>
  <c r="E145" i="3" s="1"/>
  <c r="H144" i="3"/>
  <c r="F145" i="3" l="1"/>
  <c r="D146" i="3" s="1"/>
  <c r="H145" i="3"/>
  <c r="E146" i="3" l="1"/>
  <c r="P201" i="3" s="1"/>
  <c r="F146" i="3" l="1"/>
  <c r="O199" i="3" s="1"/>
  <c r="H146" i="3"/>
  <c r="P202" i="3" l="1"/>
  <c r="M13" i="2" s="1"/>
  <c r="P200" i="3"/>
  <c r="N12" i="5" s="1"/>
  <c r="M63" i="4"/>
  <c r="M70" i="4" s="1"/>
  <c r="D147" i="3"/>
  <c r="O198" i="3" l="1"/>
  <c r="E147" i="3"/>
  <c r="M52" i="4" l="1"/>
  <c r="H147" i="3"/>
  <c r="F147" i="3"/>
  <c r="M56" i="4" l="1"/>
  <c r="M71" i="4" s="1"/>
  <c r="N6" i="8"/>
  <c r="D148" i="3"/>
  <c r="E148" i="3" l="1"/>
  <c r="H148" i="3" l="1"/>
  <c r="F148" i="3"/>
  <c r="D149" i="3" l="1"/>
  <c r="E149" i="3" l="1"/>
  <c r="F149" i="3" l="1"/>
  <c r="H149" i="3"/>
  <c r="D150" i="3" l="1"/>
  <c r="E150" i="3" l="1"/>
  <c r="H150" i="3" l="1"/>
  <c r="F150" i="3"/>
  <c r="D151" i="3" l="1"/>
  <c r="E151" i="3" l="1"/>
  <c r="H151" i="3" l="1"/>
  <c r="F151" i="3"/>
  <c r="D152" i="3" l="1"/>
  <c r="E152" i="3" s="1"/>
  <c r="H152" i="3" l="1"/>
  <c r="F152" i="3"/>
  <c r="D153" i="3" s="1"/>
  <c r="E153" i="3" l="1"/>
  <c r="F153" i="3" l="1"/>
  <c r="D154" i="3" s="1"/>
  <c r="H153" i="3"/>
  <c r="E154" i="3" l="1"/>
  <c r="H154" i="3" l="1"/>
  <c r="F154" i="3"/>
  <c r="D155" i="3" s="1"/>
  <c r="E155" i="3" s="1"/>
  <c r="F155" i="3" l="1"/>
  <c r="D156" i="3" s="1"/>
  <c r="E156" i="3" s="1"/>
  <c r="H155" i="3"/>
  <c r="F156" i="3" l="1"/>
  <c r="D157" i="3" s="1"/>
  <c r="H156" i="3"/>
  <c r="E157" i="3" l="1"/>
  <c r="H157" i="3" l="1"/>
  <c r="F157" i="3"/>
  <c r="D158" i="3" s="1"/>
  <c r="E158" i="3" l="1"/>
  <c r="Q201" i="3" s="1"/>
  <c r="H158" i="3" l="1"/>
  <c r="F158" i="3"/>
  <c r="P199" i="3" s="1"/>
  <c r="Q202" i="3" l="1"/>
  <c r="N13" i="2" s="1"/>
  <c r="Q200" i="3"/>
  <c r="O12" i="5" s="1"/>
  <c r="N63" i="4"/>
  <c r="N70" i="4" s="1"/>
  <c r="D159" i="3"/>
  <c r="E159" i="3" l="1"/>
  <c r="P198" i="3"/>
  <c r="N52" i="4" l="1"/>
  <c r="H159" i="3"/>
  <c r="F159" i="3"/>
  <c r="N56" i="4" l="1"/>
  <c r="N71" i="4" s="1"/>
  <c r="O6" i="8"/>
  <c r="D160" i="3"/>
  <c r="E160" i="3" l="1"/>
  <c r="H160" i="3" l="1"/>
  <c r="F160" i="3"/>
  <c r="D161" i="3" l="1"/>
  <c r="E161" i="3" l="1"/>
  <c r="H161" i="3" l="1"/>
  <c r="F161" i="3"/>
  <c r="D162" i="3" l="1"/>
  <c r="E162" i="3" l="1"/>
  <c r="F162" i="3" l="1"/>
  <c r="H162" i="3"/>
  <c r="D163" i="3" l="1"/>
  <c r="E163" i="3" s="1"/>
  <c r="F163" i="3" l="1"/>
  <c r="H163" i="3"/>
  <c r="D164" i="3" l="1"/>
  <c r="E164" i="3" l="1"/>
  <c r="H164" i="3" l="1"/>
  <c r="F164" i="3"/>
  <c r="D165" i="3" s="1"/>
  <c r="E165" i="3" l="1"/>
  <c r="H165" i="3" l="1"/>
  <c r="F165" i="3"/>
  <c r="D166" i="3" s="1"/>
  <c r="E166" i="3" s="1"/>
  <c r="H166" i="3" l="1"/>
  <c r="F166" i="3"/>
  <c r="D167" i="3" s="1"/>
  <c r="E167" i="3" l="1"/>
  <c r="H167" i="3" l="1"/>
  <c r="F167" i="3"/>
  <c r="D168" i="3" s="1"/>
  <c r="E168" i="3" s="1"/>
  <c r="H168" i="3" l="1"/>
  <c r="F168" i="3"/>
  <c r="D169" i="3" s="1"/>
  <c r="E169" i="3" l="1"/>
  <c r="H169" i="3" l="1"/>
  <c r="F169" i="3"/>
  <c r="D170" i="3" s="1"/>
  <c r="E170" i="3" l="1"/>
  <c r="R201" i="3" s="1"/>
  <c r="F170" i="3" l="1"/>
  <c r="Q199" i="3" s="1"/>
  <c r="H170" i="3"/>
  <c r="R202" i="3" l="1"/>
  <c r="O13" i="2" s="1"/>
  <c r="R200" i="3"/>
  <c r="P12" i="5" s="1"/>
  <c r="O63" i="4"/>
  <c r="O70" i="4" s="1"/>
  <c r="D171" i="3"/>
  <c r="Q198" i="3" l="1"/>
  <c r="E171" i="3"/>
  <c r="O52" i="4" l="1"/>
  <c r="H171" i="3"/>
  <c r="F171" i="3"/>
  <c r="O56" i="4" l="1"/>
  <c r="O71" i="4" s="1"/>
  <c r="P6" i="8"/>
  <c r="D172" i="3"/>
  <c r="E172" i="3" l="1"/>
  <c r="H172" i="3" l="1"/>
  <c r="F172" i="3"/>
  <c r="D173" i="3" l="1"/>
  <c r="E173" i="3" l="1"/>
  <c r="F173" i="3" l="1"/>
  <c r="H173" i="3"/>
  <c r="D174" i="3" l="1"/>
  <c r="E174" i="3" l="1"/>
  <c r="F174" i="3" l="1"/>
  <c r="H174" i="3"/>
  <c r="D175" i="3" l="1"/>
  <c r="E175" i="3" l="1"/>
  <c r="H175" i="3" l="1"/>
  <c r="F175" i="3"/>
  <c r="D176" i="3" l="1"/>
  <c r="E176" i="3" l="1"/>
  <c r="F176" i="3" l="1"/>
  <c r="D177" i="3" s="1"/>
  <c r="H176" i="3"/>
  <c r="E177" i="3" l="1"/>
  <c r="H177" i="3" l="1"/>
  <c r="F177" i="3"/>
  <c r="D178" i="3" s="1"/>
  <c r="E178" i="3" s="1"/>
  <c r="F178" i="3" l="1"/>
  <c r="D179" i="3" s="1"/>
  <c r="E179" i="3" s="1"/>
  <c r="H178" i="3"/>
  <c r="H179" i="3" l="1"/>
  <c r="F179" i="3"/>
  <c r="D180" i="3" s="1"/>
  <c r="E180" i="3" l="1"/>
  <c r="H180" i="3" l="1"/>
  <c r="F180" i="3"/>
  <c r="D181" i="3" s="1"/>
  <c r="E181" i="3" s="1"/>
  <c r="H181" i="3" l="1"/>
  <c r="F181" i="3"/>
  <c r="D182" i="3" s="1"/>
  <c r="E182" i="3" l="1"/>
  <c r="S201" i="3" s="1"/>
  <c r="H182" i="3" l="1"/>
  <c r="F182" i="3"/>
  <c r="R199" i="3" s="1"/>
  <c r="S202" i="3" l="1"/>
  <c r="P13" i="2" s="1"/>
  <c r="S200" i="3"/>
  <c r="Q12" i="5" s="1"/>
  <c r="P63" i="4"/>
  <c r="P70" i="4" s="1"/>
  <c r="D183" i="3"/>
  <c r="E183" i="3" l="1"/>
  <c r="R198" i="3"/>
  <c r="P52" i="4" l="1"/>
  <c r="H183" i="3"/>
  <c r="F183" i="3"/>
  <c r="P56" i="4" l="1"/>
  <c r="P71" i="4" s="1"/>
  <c r="Q6" i="8"/>
  <c r="D184" i="3"/>
  <c r="E184" i="3" s="1"/>
  <c r="F184" i="3" l="1"/>
  <c r="H184" i="3"/>
  <c r="D185" i="3" l="1"/>
  <c r="E185" i="3" s="1"/>
  <c r="H185" i="3" l="1"/>
  <c r="F185" i="3"/>
  <c r="D186" i="3" l="1"/>
  <c r="E186" i="3" s="1"/>
  <c r="F186" i="3" l="1"/>
  <c r="H186" i="3"/>
  <c r="D187" i="3" l="1"/>
  <c r="E187" i="3" s="1"/>
  <c r="F187" i="3" s="1"/>
  <c r="D188" i="3" s="1"/>
  <c r="E188" i="3" s="1"/>
  <c r="H187" i="3" l="1"/>
  <c r="F188" i="3"/>
  <c r="D189" i="3" s="1"/>
  <c r="E189" i="3" s="1"/>
  <c r="H188" i="3"/>
  <c r="H189" i="3" l="1"/>
  <c r="F189" i="3"/>
  <c r="D190" i="3" s="1"/>
  <c r="E190" i="3" s="1"/>
  <c r="F190" i="3" l="1"/>
  <c r="D191" i="3" s="1"/>
  <c r="E191" i="3" s="1"/>
  <c r="H190" i="3"/>
  <c r="F191" i="3" l="1"/>
  <c r="D192" i="3" s="1"/>
  <c r="H191" i="3"/>
  <c r="E192" i="3" l="1"/>
  <c r="F192" i="3" l="1"/>
  <c r="D193" i="3" s="1"/>
  <c r="E193" i="3" s="1"/>
  <c r="H192" i="3"/>
  <c r="F193" i="3" l="1"/>
  <c r="D194" i="3" s="1"/>
  <c r="E194" i="3" s="1"/>
  <c r="T201" i="3" s="1"/>
  <c r="H193" i="3"/>
  <c r="F194" i="3" l="1"/>
  <c r="S199" i="3" s="1"/>
  <c r="Q63" i="4" s="1"/>
  <c r="H194" i="3"/>
  <c r="Q70" i="4" l="1"/>
  <c r="Q71" i="4" s="1"/>
  <c r="R6" i="8"/>
  <c r="T200" i="3"/>
  <c r="R12" i="5" s="1"/>
  <c r="T202" i="3"/>
  <c r="Q13" i="2" s="1"/>
  <c r="C143" i="1" l="1"/>
  <c r="K198" i="1" l="1"/>
  <c r="L198" i="1"/>
  <c r="M198" i="1"/>
  <c r="N198" i="1"/>
  <c r="O198" i="1"/>
  <c r="P198" i="1"/>
  <c r="Q198" i="1"/>
  <c r="R198" i="1"/>
  <c r="S198" i="1"/>
  <c r="C198" i="1"/>
  <c r="G198" i="1"/>
  <c r="H198" i="1"/>
  <c r="I198" i="1"/>
  <c r="K252" i="1" l="1"/>
  <c r="H11" i="2" s="1"/>
  <c r="L252" i="1"/>
  <c r="I11" i="2" s="1"/>
  <c r="M252" i="1"/>
  <c r="J11" i="2" s="1"/>
  <c r="N252" i="1"/>
  <c r="K11" i="2" s="1"/>
  <c r="O252" i="1"/>
  <c r="L11" i="2" s="1"/>
  <c r="P252" i="1"/>
  <c r="M11" i="2" s="1"/>
  <c r="Q252" i="1"/>
  <c r="N11" i="2" s="1"/>
  <c r="R252" i="1"/>
  <c r="O11" i="2" s="1"/>
  <c r="S252" i="1"/>
  <c r="P11" i="2" s="1"/>
  <c r="T252" i="1"/>
  <c r="Q11" i="2" s="1"/>
  <c r="H252" i="1"/>
  <c r="E11" i="2" s="1"/>
  <c r="I252" i="1"/>
  <c r="F11" i="2" s="1"/>
  <c r="J252" i="1"/>
  <c r="G11" i="2" s="1"/>
  <c r="G252" i="1"/>
  <c r="D11" i="2" s="1"/>
  <c r="O7" i="5" l="1"/>
  <c r="N12" i="2"/>
  <c r="L7" i="5"/>
  <c r="K12" i="2"/>
  <c r="K7" i="5"/>
  <c r="J12" i="2"/>
  <c r="P7" i="5"/>
  <c r="O12" i="2"/>
  <c r="M7" i="5"/>
  <c r="L12" i="2"/>
  <c r="R7" i="5"/>
  <c r="Q12" i="2"/>
  <c r="J7" i="5"/>
  <c r="I12" i="2"/>
  <c r="N7" i="5"/>
  <c r="M12" i="2"/>
  <c r="Q7" i="5"/>
  <c r="P12" i="2"/>
  <c r="I7" i="5"/>
  <c r="H12" i="2"/>
  <c r="F12" i="2"/>
  <c r="G7" i="5"/>
  <c r="D12" i="2"/>
  <c r="E7" i="5"/>
  <c r="F7" i="5"/>
  <c r="E12" i="2"/>
  <c r="G12" i="2"/>
  <c r="H7" i="5"/>
  <c r="P5" i="5" l="1"/>
  <c r="O14" i="2"/>
  <c r="N5" i="5"/>
  <c r="M14" i="2"/>
  <c r="J5" i="5"/>
  <c r="I14" i="2"/>
  <c r="I5" i="5"/>
  <c r="H14" i="2"/>
  <c r="R5" i="5"/>
  <c r="Q14" i="2"/>
  <c r="Q5" i="5"/>
  <c r="P14" i="2"/>
  <c r="M5" i="5"/>
  <c r="L14" i="2"/>
  <c r="O5" i="5"/>
  <c r="N14" i="2"/>
  <c r="K5" i="5"/>
  <c r="J14" i="2"/>
  <c r="L5" i="5"/>
  <c r="K14" i="2"/>
  <c r="G14" i="2"/>
  <c r="H5" i="5"/>
  <c r="D14" i="2"/>
  <c r="E5" i="5"/>
  <c r="F5" i="5"/>
  <c r="E14" i="2"/>
  <c r="D7" i="5"/>
  <c r="D7" i="4"/>
  <c r="D17" i="4" s="1"/>
  <c r="G255" i="1"/>
  <c r="F14" i="2"/>
  <c r="G5" i="5"/>
  <c r="H18" i="2" l="1"/>
  <c r="H21" i="2" s="1"/>
  <c r="H19" i="2"/>
  <c r="K19" i="2"/>
  <c r="K18" i="2"/>
  <c r="K21" i="2" s="1"/>
  <c r="L19" i="2"/>
  <c r="L18" i="2"/>
  <c r="L21" i="2" s="1"/>
  <c r="M18" i="2"/>
  <c r="M21" i="2" s="1"/>
  <c r="M19" i="2"/>
  <c r="J18" i="2"/>
  <c r="J21" i="2" s="1"/>
  <c r="J19" i="2"/>
  <c r="Q18" i="2"/>
  <c r="Q21" i="2" s="1"/>
  <c r="Q19" i="2"/>
  <c r="O18" i="2"/>
  <c r="O21" i="2" s="1"/>
  <c r="O19" i="2"/>
  <c r="N19" i="2"/>
  <c r="N18" i="2"/>
  <c r="N21" i="2" s="1"/>
  <c r="I19" i="2"/>
  <c r="I18" i="2"/>
  <c r="I21" i="2" s="1"/>
  <c r="P19" i="2"/>
  <c r="P18" i="2"/>
  <c r="P21" i="2" s="1"/>
  <c r="D5" i="5"/>
  <c r="E19" i="2"/>
  <c r="E18" i="2"/>
  <c r="D18" i="2"/>
  <c r="D19" i="2"/>
  <c r="H255" i="1"/>
  <c r="E7" i="4"/>
  <c r="E17" i="4" s="1"/>
  <c r="F18" i="2"/>
  <c r="F19" i="2"/>
  <c r="G18" i="2"/>
  <c r="G19" i="2"/>
  <c r="G21" i="2" l="1"/>
  <c r="F7" i="4"/>
  <c r="F17" i="4" s="1"/>
  <c r="I255" i="1"/>
  <c r="E21" i="2"/>
  <c r="D21" i="2"/>
  <c r="F21" i="2"/>
  <c r="C18" i="2"/>
  <c r="C21" i="2" s="1"/>
  <c r="C19" i="2"/>
  <c r="C20" i="2" s="1"/>
  <c r="C22" i="2" l="1"/>
  <c r="D20" i="2" s="1"/>
  <c r="G7" i="4"/>
  <c r="G17" i="4" s="1"/>
  <c r="J255" i="1"/>
  <c r="C23" i="2" l="1"/>
  <c r="C24" i="2" s="1"/>
  <c r="C15" i="2" s="1"/>
  <c r="C16" i="2" s="1"/>
  <c r="D22" i="2"/>
  <c r="D23" i="2" s="1"/>
  <c r="E20" i="2"/>
  <c r="E22" i="2" s="1"/>
  <c r="E23" i="2" s="1"/>
  <c r="E24" i="2" s="1"/>
  <c r="E15" i="2" s="1"/>
  <c r="E25" i="2" s="1"/>
  <c r="H7" i="4"/>
  <c r="H17" i="4" s="1"/>
  <c r="K255" i="1"/>
  <c r="D24" i="2" l="1"/>
  <c r="D15" i="2" s="1"/>
  <c r="E16" i="2"/>
  <c r="F45" i="4" s="1"/>
  <c r="F20" i="2"/>
  <c r="F22" i="2" s="1"/>
  <c r="F23" i="2" s="1"/>
  <c r="F24" i="2" s="1"/>
  <c r="F15" i="2" s="1"/>
  <c r="I7" i="4"/>
  <c r="I17" i="4" s="1"/>
  <c r="L255" i="1"/>
  <c r="L50" i="3"/>
  <c r="I50" i="3" s="1"/>
  <c r="J50" i="3" s="1"/>
  <c r="F11" i="5"/>
  <c r="L45" i="3"/>
  <c r="I45" i="3" s="1"/>
  <c r="J45" i="3" s="1"/>
  <c r="L43" i="3"/>
  <c r="I43" i="3" s="1"/>
  <c r="J43" i="3" s="1"/>
  <c r="L46" i="3"/>
  <c r="I46" i="3" s="1"/>
  <c r="J46" i="3" s="1"/>
  <c r="L44" i="3"/>
  <c r="I44" i="3" s="1"/>
  <c r="J44" i="3" s="1"/>
  <c r="L41" i="3"/>
  <c r="I41" i="3" s="1"/>
  <c r="J41" i="3" s="1"/>
  <c r="L47" i="3"/>
  <c r="I47" i="3" s="1"/>
  <c r="J47" i="3" s="1"/>
  <c r="L39" i="3"/>
  <c r="I39" i="3" s="1"/>
  <c r="J39" i="3" s="1"/>
  <c r="L40" i="3"/>
  <c r="I40" i="3" s="1"/>
  <c r="J40" i="3" s="1"/>
  <c r="L42" i="3"/>
  <c r="I42" i="3" s="1"/>
  <c r="J42" i="3" s="1"/>
  <c r="L49" i="3"/>
  <c r="I49" i="3" s="1"/>
  <c r="J49" i="3" s="1"/>
  <c r="L48" i="3"/>
  <c r="I48" i="3" s="1"/>
  <c r="J48" i="3" s="1"/>
  <c r="F6" i="5"/>
  <c r="F10" i="5" s="1"/>
  <c r="D25" i="2" l="1"/>
  <c r="D16" i="2"/>
  <c r="E45" i="4" s="1"/>
  <c r="L35" i="3"/>
  <c r="I35" i="3" s="1"/>
  <c r="J35" i="3" s="1"/>
  <c r="L38" i="3"/>
  <c r="I38" i="3" s="1"/>
  <c r="J38" i="3" s="1"/>
  <c r="L31" i="3"/>
  <c r="I31" i="3" s="1"/>
  <c r="J31" i="3" s="1"/>
  <c r="L30" i="3"/>
  <c r="I30" i="3" s="1"/>
  <c r="J30" i="3" s="1"/>
  <c r="L36" i="3"/>
  <c r="I36" i="3" s="1"/>
  <c r="J36" i="3" s="1"/>
  <c r="E11" i="5"/>
  <c r="L29" i="3"/>
  <c r="I29" i="3" s="1"/>
  <c r="J29" i="3" s="1"/>
  <c r="L33" i="3"/>
  <c r="I33" i="3" s="1"/>
  <c r="J33" i="3" s="1"/>
  <c r="L34" i="3"/>
  <c r="I34" i="3" s="1"/>
  <c r="J34" i="3" s="1"/>
  <c r="E6" i="5"/>
  <c r="E10" i="5" s="1"/>
  <c r="L37" i="3"/>
  <c r="I37" i="3" s="1"/>
  <c r="J37" i="3" s="1"/>
  <c r="L28" i="3"/>
  <c r="I28" i="3" s="1"/>
  <c r="J28" i="3" s="1"/>
  <c r="L27" i="3"/>
  <c r="I27" i="3" s="1"/>
  <c r="J27" i="3" s="1"/>
  <c r="L32" i="3"/>
  <c r="I32" i="3" s="1"/>
  <c r="J32" i="3" s="1"/>
  <c r="G42" i="4"/>
  <c r="J7" i="4"/>
  <c r="J17" i="4" s="1"/>
  <c r="M255" i="1"/>
  <c r="F25" i="2"/>
  <c r="F16" i="2"/>
  <c r="G45" i="4" s="1"/>
  <c r="G20" i="2"/>
  <c r="F17" i="8"/>
  <c r="F19" i="8" s="1"/>
  <c r="F13" i="5"/>
  <c r="D45" i="4" l="1"/>
  <c r="E42" i="4" s="1"/>
  <c r="F42" i="4" s="1"/>
  <c r="C25" i="2"/>
  <c r="E13" i="5"/>
  <c r="E17" i="8"/>
  <c r="H42" i="4"/>
  <c r="K7" i="4"/>
  <c r="K17" i="4" s="1"/>
  <c r="N255" i="1"/>
  <c r="G22" i="2"/>
  <c r="G23" i="2" s="1"/>
  <c r="G24" i="2" s="1"/>
  <c r="G15" i="2" s="1"/>
  <c r="G25" i="2" s="1"/>
  <c r="L54" i="3"/>
  <c r="I54" i="3" s="1"/>
  <c r="J54" i="3" s="1"/>
  <c r="L58" i="3"/>
  <c r="I58" i="3" s="1"/>
  <c r="J58" i="3" s="1"/>
  <c r="L56" i="3"/>
  <c r="I56" i="3" s="1"/>
  <c r="J56" i="3" s="1"/>
  <c r="L62" i="3"/>
  <c r="I62" i="3" s="1"/>
  <c r="J62" i="3" s="1"/>
  <c r="L51" i="3"/>
  <c r="I51" i="3" s="1"/>
  <c r="J51" i="3" s="1"/>
  <c r="G11" i="5"/>
  <c r="L53" i="3"/>
  <c r="I53" i="3" s="1"/>
  <c r="J53" i="3" s="1"/>
  <c r="L59" i="3"/>
  <c r="I59" i="3" s="1"/>
  <c r="J59" i="3" s="1"/>
  <c r="L61" i="3"/>
  <c r="I61" i="3" s="1"/>
  <c r="J61" i="3" s="1"/>
  <c r="L52" i="3"/>
  <c r="I52" i="3" s="1"/>
  <c r="J52" i="3" s="1"/>
  <c r="L60" i="3"/>
  <c r="I60" i="3" s="1"/>
  <c r="J60" i="3" s="1"/>
  <c r="L57" i="3"/>
  <c r="I57" i="3" s="1"/>
  <c r="J57" i="3" s="1"/>
  <c r="L55" i="3"/>
  <c r="I55" i="3" s="1"/>
  <c r="J55" i="3" s="1"/>
  <c r="G6" i="5"/>
  <c r="G10" i="5" s="1"/>
  <c r="D11" i="5" l="1"/>
  <c r="L15" i="3"/>
  <c r="I15" i="3" s="1"/>
  <c r="J15" i="3" s="1"/>
  <c r="L19" i="3"/>
  <c r="I19" i="3" s="1"/>
  <c r="J19" i="3" s="1"/>
  <c r="L25" i="3"/>
  <c r="I25" i="3" s="1"/>
  <c r="J25" i="3" s="1"/>
  <c r="L20" i="3"/>
  <c r="I20" i="3" s="1"/>
  <c r="J20" i="3" s="1"/>
  <c r="L24" i="3"/>
  <c r="I24" i="3" s="1"/>
  <c r="J24" i="3" s="1"/>
  <c r="L18" i="3"/>
  <c r="I18" i="3" s="1"/>
  <c r="J18" i="3" s="1"/>
  <c r="L16" i="3"/>
  <c r="I16" i="3" s="1"/>
  <c r="J16" i="3" s="1"/>
  <c r="L17" i="3"/>
  <c r="I17" i="3" s="1"/>
  <c r="J17" i="3" s="1"/>
  <c r="L26" i="3"/>
  <c r="I26" i="3" s="1"/>
  <c r="J26" i="3" s="1"/>
  <c r="L22" i="3"/>
  <c r="I22" i="3" s="1"/>
  <c r="J22" i="3" s="1"/>
  <c r="L21" i="3"/>
  <c r="I21" i="3" s="1"/>
  <c r="J21" i="3" s="1"/>
  <c r="L23" i="3"/>
  <c r="I23" i="3" s="1"/>
  <c r="J23" i="3" s="1"/>
  <c r="D6" i="5"/>
  <c r="D10" i="5" s="1"/>
  <c r="G16" i="2"/>
  <c r="H45" i="4" s="1"/>
  <c r="I42" i="4" s="1"/>
  <c r="H20" i="2"/>
  <c r="H22" i="2" s="1"/>
  <c r="H23" i="2" s="1"/>
  <c r="H24" i="2" s="1"/>
  <c r="H15" i="2" s="1"/>
  <c r="L7" i="4"/>
  <c r="L17" i="4" s="1"/>
  <c r="O255" i="1"/>
  <c r="H11" i="5"/>
  <c r="L65" i="3"/>
  <c r="I65" i="3" s="1"/>
  <c r="J65" i="3" s="1"/>
  <c r="L70" i="3"/>
  <c r="I70" i="3" s="1"/>
  <c r="J70" i="3" s="1"/>
  <c r="L66" i="3"/>
  <c r="I66" i="3" s="1"/>
  <c r="J66" i="3" s="1"/>
  <c r="L74" i="3"/>
  <c r="I74" i="3" s="1"/>
  <c r="J74" i="3" s="1"/>
  <c r="L63" i="3"/>
  <c r="I63" i="3" s="1"/>
  <c r="J63" i="3" s="1"/>
  <c r="L67" i="3"/>
  <c r="I67" i="3" s="1"/>
  <c r="J67" i="3" s="1"/>
  <c r="L69" i="3"/>
  <c r="I69" i="3" s="1"/>
  <c r="J69" i="3" s="1"/>
  <c r="L71" i="3"/>
  <c r="I71" i="3" s="1"/>
  <c r="J71" i="3" s="1"/>
  <c r="L72" i="3"/>
  <c r="I72" i="3" s="1"/>
  <c r="J72" i="3" s="1"/>
  <c r="L73" i="3"/>
  <c r="I73" i="3" s="1"/>
  <c r="J73" i="3" s="1"/>
  <c r="L68" i="3"/>
  <c r="I68" i="3" s="1"/>
  <c r="J68" i="3" s="1"/>
  <c r="L64" i="3"/>
  <c r="I64" i="3" s="1"/>
  <c r="J64" i="3" s="1"/>
  <c r="H6" i="5"/>
  <c r="H10" i="5" s="1"/>
  <c r="G17" i="8"/>
  <c r="G19" i="8" s="1"/>
  <c r="G13" i="5"/>
  <c r="D13" i="5" l="1"/>
  <c r="D15" i="5" s="1"/>
  <c r="D17" i="8"/>
  <c r="D19" i="8" s="1"/>
  <c r="M7" i="4"/>
  <c r="M17" i="4" s="1"/>
  <c r="P255" i="1"/>
  <c r="I20" i="2"/>
  <c r="H25" i="2"/>
  <c r="H16" i="2"/>
  <c r="I45" i="4" s="1"/>
  <c r="J42" i="4" s="1"/>
  <c r="H13" i="5"/>
  <c r="H17" i="8"/>
  <c r="D17" i="5" l="1"/>
  <c r="D40" i="4" s="1"/>
  <c r="D44" i="4" s="1"/>
  <c r="D47" i="4" s="1"/>
  <c r="N7" i="4"/>
  <c r="N17" i="4" s="1"/>
  <c r="Q255" i="1"/>
  <c r="I11" i="5"/>
  <c r="L77" i="3"/>
  <c r="I77" i="3" s="1"/>
  <c r="J77" i="3" s="1"/>
  <c r="I6" i="5"/>
  <c r="I10" i="5" s="1"/>
  <c r="L80" i="3"/>
  <c r="I80" i="3" s="1"/>
  <c r="J80" i="3" s="1"/>
  <c r="L81" i="3"/>
  <c r="I81" i="3" s="1"/>
  <c r="J81" i="3" s="1"/>
  <c r="L83" i="3"/>
  <c r="I83" i="3" s="1"/>
  <c r="J83" i="3" s="1"/>
  <c r="L86" i="3"/>
  <c r="I86" i="3" s="1"/>
  <c r="J86" i="3" s="1"/>
  <c r="L82" i="3"/>
  <c r="I82" i="3" s="1"/>
  <c r="J82" i="3" s="1"/>
  <c r="L84" i="3"/>
  <c r="I84" i="3" s="1"/>
  <c r="J84" i="3" s="1"/>
  <c r="L76" i="3"/>
  <c r="I76" i="3" s="1"/>
  <c r="J76" i="3" s="1"/>
  <c r="L79" i="3"/>
  <c r="I79" i="3" s="1"/>
  <c r="J79" i="3" s="1"/>
  <c r="L75" i="3"/>
  <c r="I75" i="3" s="1"/>
  <c r="J75" i="3" s="1"/>
  <c r="L78" i="3"/>
  <c r="I78" i="3" s="1"/>
  <c r="J78" i="3" s="1"/>
  <c r="L85" i="3"/>
  <c r="I85" i="3" s="1"/>
  <c r="J85" i="3" s="1"/>
  <c r="I22" i="2"/>
  <c r="I23" i="2" s="1"/>
  <c r="I24" i="2" s="1"/>
  <c r="I15" i="2" s="1"/>
  <c r="D18" i="5" l="1"/>
  <c r="E15" i="5" s="1"/>
  <c r="D30" i="4"/>
  <c r="D31" i="4" s="1"/>
  <c r="D33" i="4" s="1"/>
  <c r="D72" i="4"/>
  <c r="E5" i="8"/>
  <c r="E7" i="8" s="1"/>
  <c r="E9" i="8" s="1"/>
  <c r="I17" i="8"/>
  <c r="I13" i="5"/>
  <c r="J20" i="2"/>
  <c r="O7" i="4"/>
  <c r="O17" i="4" s="1"/>
  <c r="R255" i="1"/>
  <c r="I25" i="2"/>
  <c r="I16" i="2"/>
  <c r="J45" i="4" s="1"/>
  <c r="K42" i="4" s="1"/>
  <c r="D74" i="4" l="1"/>
  <c r="E17" i="5"/>
  <c r="E40" i="4" s="1"/>
  <c r="E44" i="4" s="1"/>
  <c r="E47" i="4" s="1"/>
  <c r="E72" i="4" s="1"/>
  <c r="E8" i="8"/>
  <c r="L89" i="3"/>
  <c r="I89" i="3" s="1"/>
  <c r="J89" i="3" s="1"/>
  <c r="J11" i="5"/>
  <c r="L90" i="3"/>
  <c r="I90" i="3" s="1"/>
  <c r="J90" i="3" s="1"/>
  <c r="L94" i="3"/>
  <c r="I94" i="3" s="1"/>
  <c r="J94" i="3" s="1"/>
  <c r="L92" i="3"/>
  <c r="I92" i="3" s="1"/>
  <c r="J92" i="3" s="1"/>
  <c r="L96" i="3"/>
  <c r="I96" i="3" s="1"/>
  <c r="J96" i="3" s="1"/>
  <c r="J6" i="5"/>
  <c r="J10" i="5" s="1"/>
  <c r="L97" i="3"/>
  <c r="I97" i="3" s="1"/>
  <c r="J97" i="3" s="1"/>
  <c r="L87" i="3"/>
  <c r="I87" i="3" s="1"/>
  <c r="J87" i="3" s="1"/>
  <c r="L93" i="3"/>
  <c r="I93" i="3" s="1"/>
  <c r="J93" i="3" s="1"/>
  <c r="L88" i="3"/>
  <c r="I88" i="3" s="1"/>
  <c r="J88" i="3" s="1"/>
  <c r="L98" i="3"/>
  <c r="I98" i="3" s="1"/>
  <c r="J98" i="3" s="1"/>
  <c r="L95" i="3"/>
  <c r="I95" i="3" s="1"/>
  <c r="J95" i="3" s="1"/>
  <c r="L91" i="3"/>
  <c r="I91" i="3" s="1"/>
  <c r="J91" i="3" s="1"/>
  <c r="J22" i="2"/>
  <c r="J23" i="2" s="1"/>
  <c r="J24" i="2" s="1"/>
  <c r="J15" i="2" s="1"/>
  <c r="P7" i="4"/>
  <c r="P17" i="4" s="1"/>
  <c r="S255" i="1"/>
  <c r="F5" i="8"/>
  <c r="F15" i="5"/>
  <c r="E18" i="5" l="1"/>
  <c r="E30" i="4" s="1"/>
  <c r="E31" i="4" s="1"/>
  <c r="E33" i="4" s="1"/>
  <c r="E74" i="4" s="1"/>
  <c r="J17" i="8"/>
  <c r="J13" i="5"/>
  <c r="J25" i="2"/>
  <c r="J16" i="2"/>
  <c r="K45" i="4" s="1"/>
  <c r="L42" i="4" s="1"/>
  <c r="Q7" i="4"/>
  <c r="Q17" i="4" s="1"/>
  <c r="T255" i="1"/>
  <c r="R7" i="4" s="1"/>
  <c r="R17" i="4" s="1"/>
  <c r="K20" i="2"/>
  <c r="F17" i="5"/>
  <c r="F40" i="4" s="1"/>
  <c r="F7" i="8"/>
  <c r="F9" i="8" s="1"/>
  <c r="K22" i="2" l="1"/>
  <c r="K23" i="2" s="1"/>
  <c r="K24" i="2" s="1"/>
  <c r="K15" i="2" s="1"/>
  <c r="K11" i="5"/>
  <c r="K6" i="5"/>
  <c r="K10" i="5" s="1"/>
  <c r="L103" i="3"/>
  <c r="I103" i="3" s="1"/>
  <c r="J103" i="3" s="1"/>
  <c r="L106" i="3"/>
  <c r="I106" i="3" s="1"/>
  <c r="J106" i="3" s="1"/>
  <c r="L104" i="3"/>
  <c r="I104" i="3" s="1"/>
  <c r="J104" i="3" s="1"/>
  <c r="L99" i="3"/>
  <c r="I99" i="3" s="1"/>
  <c r="J99" i="3" s="1"/>
  <c r="L102" i="3"/>
  <c r="I102" i="3" s="1"/>
  <c r="J102" i="3" s="1"/>
  <c r="L107" i="3"/>
  <c r="I107" i="3" s="1"/>
  <c r="J107" i="3" s="1"/>
  <c r="L105" i="3"/>
  <c r="I105" i="3" s="1"/>
  <c r="J105" i="3" s="1"/>
  <c r="L110" i="3"/>
  <c r="I110" i="3" s="1"/>
  <c r="J110" i="3" s="1"/>
  <c r="L108" i="3"/>
  <c r="I108" i="3" s="1"/>
  <c r="J108" i="3" s="1"/>
  <c r="L101" i="3"/>
  <c r="I101" i="3" s="1"/>
  <c r="J101" i="3" s="1"/>
  <c r="L100" i="3"/>
  <c r="I100" i="3" s="1"/>
  <c r="J100" i="3" s="1"/>
  <c r="L109" i="3"/>
  <c r="I109" i="3" s="1"/>
  <c r="J109" i="3" s="1"/>
  <c r="F18" i="5"/>
  <c r="F30" i="4" s="1"/>
  <c r="F31" i="4" s="1"/>
  <c r="F33" i="4" s="1"/>
  <c r="F8" i="8"/>
  <c r="F44" i="4"/>
  <c r="F47" i="4" s="1"/>
  <c r="L20" i="2" l="1"/>
  <c r="K17" i="8"/>
  <c r="K13" i="5"/>
  <c r="K25" i="2"/>
  <c r="K16" i="2"/>
  <c r="L45" i="4" s="1"/>
  <c r="M42" i="4" s="1"/>
  <c r="G15" i="5"/>
  <c r="G17" i="5" s="1"/>
  <c r="G40" i="4" s="1"/>
  <c r="G5" i="8"/>
  <c r="F72" i="4"/>
  <c r="F74" i="4" s="1"/>
  <c r="L116" i="3" l="1"/>
  <c r="I116" i="3" s="1"/>
  <c r="J116" i="3" s="1"/>
  <c r="L112" i="3"/>
  <c r="I112" i="3" s="1"/>
  <c r="J112" i="3" s="1"/>
  <c r="L120" i="3"/>
  <c r="I120" i="3" s="1"/>
  <c r="J120" i="3" s="1"/>
  <c r="L115" i="3"/>
  <c r="I115" i="3" s="1"/>
  <c r="J115" i="3" s="1"/>
  <c r="L121" i="3"/>
  <c r="I121" i="3" s="1"/>
  <c r="J121" i="3" s="1"/>
  <c r="L114" i="3"/>
  <c r="I114" i="3" s="1"/>
  <c r="J114" i="3" s="1"/>
  <c r="L6" i="5"/>
  <c r="L10" i="5" s="1"/>
  <c r="L111" i="3"/>
  <c r="I111" i="3" s="1"/>
  <c r="J111" i="3" s="1"/>
  <c r="L117" i="3"/>
  <c r="I117" i="3" s="1"/>
  <c r="J117" i="3" s="1"/>
  <c r="L11" i="5"/>
  <c r="L113" i="3"/>
  <c r="I113" i="3" s="1"/>
  <c r="J113" i="3" s="1"/>
  <c r="L122" i="3"/>
  <c r="I122" i="3" s="1"/>
  <c r="J122" i="3" s="1"/>
  <c r="L118" i="3"/>
  <c r="I118" i="3" s="1"/>
  <c r="J118" i="3" s="1"/>
  <c r="L119" i="3"/>
  <c r="I119" i="3" s="1"/>
  <c r="J119" i="3" s="1"/>
  <c r="L22" i="2"/>
  <c r="L23" i="2" s="1"/>
  <c r="L24" i="2" s="1"/>
  <c r="L15" i="2" s="1"/>
  <c r="G18" i="5"/>
  <c r="G7" i="8"/>
  <c r="G9" i="8" s="1"/>
  <c r="G44" i="4"/>
  <c r="G47" i="4" s="1"/>
  <c r="L17" i="8" l="1"/>
  <c r="L13" i="5"/>
  <c r="M20" i="2"/>
  <c r="L25" i="2"/>
  <c r="L16" i="2"/>
  <c r="M45" i="4" s="1"/>
  <c r="N42" i="4" s="1"/>
  <c r="G8" i="8"/>
  <c r="G72" i="4"/>
  <c r="H5" i="8"/>
  <c r="H15" i="5"/>
  <c r="G30" i="4"/>
  <c r="G31" i="4" s="1"/>
  <c r="G33" i="4" s="1"/>
  <c r="G74" i="4" l="1"/>
  <c r="L123" i="3"/>
  <c r="I123" i="3" s="1"/>
  <c r="J123" i="3" s="1"/>
  <c r="L129" i="3"/>
  <c r="I129" i="3" s="1"/>
  <c r="J129" i="3" s="1"/>
  <c r="L126" i="3"/>
  <c r="I126" i="3" s="1"/>
  <c r="J126" i="3" s="1"/>
  <c r="L130" i="3"/>
  <c r="I130" i="3" s="1"/>
  <c r="J130" i="3" s="1"/>
  <c r="L128" i="3"/>
  <c r="I128" i="3" s="1"/>
  <c r="J128" i="3" s="1"/>
  <c r="L134" i="3"/>
  <c r="I134" i="3" s="1"/>
  <c r="J134" i="3" s="1"/>
  <c r="L132" i="3"/>
  <c r="I132" i="3" s="1"/>
  <c r="J132" i="3" s="1"/>
  <c r="L133" i="3"/>
  <c r="I133" i="3" s="1"/>
  <c r="J133" i="3" s="1"/>
  <c r="L131" i="3"/>
  <c r="I131" i="3" s="1"/>
  <c r="J131" i="3" s="1"/>
  <c r="L125" i="3"/>
  <c r="I125" i="3" s="1"/>
  <c r="J125" i="3" s="1"/>
  <c r="L127" i="3"/>
  <c r="I127" i="3" s="1"/>
  <c r="J127" i="3" s="1"/>
  <c r="M11" i="5"/>
  <c r="L124" i="3"/>
  <c r="I124" i="3" s="1"/>
  <c r="J124" i="3" s="1"/>
  <c r="M6" i="5"/>
  <c r="M10" i="5" s="1"/>
  <c r="M22" i="2"/>
  <c r="M23" i="2" s="1"/>
  <c r="M24" i="2" s="1"/>
  <c r="M15" i="2" s="1"/>
  <c r="H17" i="5"/>
  <c r="H40" i="4" s="1"/>
  <c r="H44" i="4" s="1"/>
  <c r="H47" i="4" s="1"/>
  <c r="H7" i="8"/>
  <c r="H9" i="8" s="1"/>
  <c r="N20" i="2" l="1"/>
  <c r="N22" i="2" s="1"/>
  <c r="N23" i="2" s="1"/>
  <c r="N24" i="2" s="1"/>
  <c r="N15" i="2" s="1"/>
  <c r="M16" i="2"/>
  <c r="N45" i="4" s="1"/>
  <c r="O42" i="4" s="1"/>
  <c r="M25" i="2"/>
  <c r="M17" i="8"/>
  <c r="M13" i="5"/>
  <c r="H72" i="4"/>
  <c r="I5" i="8"/>
  <c r="H8" i="8"/>
  <c r="H18" i="5"/>
  <c r="H30" i="4" l="1"/>
  <c r="H31" i="4" s="1"/>
  <c r="H33" i="4" s="1"/>
  <c r="H74" i="4" s="1"/>
  <c r="I15" i="5"/>
  <c r="I7" i="8"/>
  <c r="I9" i="8" s="1"/>
  <c r="I8" i="8"/>
  <c r="L141" i="3"/>
  <c r="I141" i="3" s="1"/>
  <c r="J141" i="3" s="1"/>
  <c r="L146" i="3"/>
  <c r="I146" i="3" s="1"/>
  <c r="J146" i="3" s="1"/>
  <c r="L142" i="3"/>
  <c r="I142" i="3" s="1"/>
  <c r="J142" i="3" s="1"/>
  <c r="L140" i="3"/>
  <c r="I140" i="3" s="1"/>
  <c r="J140" i="3" s="1"/>
  <c r="L144" i="3"/>
  <c r="I144" i="3" s="1"/>
  <c r="J144" i="3" s="1"/>
  <c r="L136" i="3"/>
  <c r="I136" i="3" s="1"/>
  <c r="J136" i="3" s="1"/>
  <c r="L138" i="3"/>
  <c r="I138" i="3" s="1"/>
  <c r="J138" i="3" s="1"/>
  <c r="L135" i="3"/>
  <c r="I135" i="3" s="1"/>
  <c r="J135" i="3" s="1"/>
  <c r="L145" i="3"/>
  <c r="I145" i="3" s="1"/>
  <c r="J145" i="3" s="1"/>
  <c r="L137" i="3"/>
  <c r="I137" i="3" s="1"/>
  <c r="J137" i="3" s="1"/>
  <c r="N11" i="5"/>
  <c r="L139" i="3"/>
  <c r="I139" i="3" s="1"/>
  <c r="J139" i="3" s="1"/>
  <c r="N6" i="5"/>
  <c r="N10" i="5" s="1"/>
  <c r="L143" i="3"/>
  <c r="I143" i="3" s="1"/>
  <c r="J143" i="3" s="1"/>
  <c r="O20" i="2"/>
  <c r="N25" i="2"/>
  <c r="N16" i="2"/>
  <c r="O45" i="4" s="1"/>
  <c r="P42" i="4" s="1"/>
  <c r="O11" i="5" l="1"/>
  <c r="L149" i="3"/>
  <c r="I149" i="3" s="1"/>
  <c r="J149" i="3" s="1"/>
  <c r="L158" i="3"/>
  <c r="I158" i="3" s="1"/>
  <c r="J158" i="3" s="1"/>
  <c r="L151" i="3"/>
  <c r="I151" i="3" s="1"/>
  <c r="J151" i="3" s="1"/>
  <c r="L154" i="3"/>
  <c r="I154" i="3" s="1"/>
  <c r="J154" i="3" s="1"/>
  <c r="O6" i="5"/>
  <c r="O10" i="5" s="1"/>
  <c r="L150" i="3"/>
  <c r="I150" i="3" s="1"/>
  <c r="J150" i="3" s="1"/>
  <c r="L148" i="3"/>
  <c r="I148" i="3" s="1"/>
  <c r="J148" i="3" s="1"/>
  <c r="L147" i="3"/>
  <c r="I147" i="3" s="1"/>
  <c r="J147" i="3" s="1"/>
  <c r="L155" i="3"/>
  <c r="I155" i="3" s="1"/>
  <c r="J155" i="3" s="1"/>
  <c r="L156" i="3"/>
  <c r="I156" i="3" s="1"/>
  <c r="J156" i="3" s="1"/>
  <c r="L153" i="3"/>
  <c r="I153" i="3" s="1"/>
  <c r="J153" i="3" s="1"/>
  <c r="L157" i="3"/>
  <c r="I157" i="3" s="1"/>
  <c r="J157" i="3" s="1"/>
  <c r="L152" i="3"/>
  <c r="I152" i="3" s="1"/>
  <c r="J152" i="3" s="1"/>
  <c r="N17" i="8"/>
  <c r="N13" i="5"/>
  <c r="I17" i="5"/>
  <c r="I40" i="4" s="1"/>
  <c r="I44" i="4" s="1"/>
  <c r="I47" i="4" s="1"/>
  <c r="O22" i="2"/>
  <c r="O23" i="2" s="1"/>
  <c r="O24" i="2" s="1"/>
  <c r="O15" i="2" s="1"/>
  <c r="P20" i="2" l="1"/>
  <c r="P22" i="2" s="1"/>
  <c r="P23" i="2" s="1"/>
  <c r="P24" i="2" s="1"/>
  <c r="P15" i="2" s="1"/>
  <c r="O25" i="2"/>
  <c r="O16" i="2"/>
  <c r="P45" i="4" s="1"/>
  <c r="Q42" i="4" s="1"/>
  <c r="I18" i="5"/>
  <c r="O17" i="8"/>
  <c r="O13" i="5"/>
  <c r="I72" i="4"/>
  <c r="J5" i="8"/>
  <c r="Q20" i="2" l="1"/>
  <c r="Q22" i="2" s="1"/>
  <c r="Q23" i="2" s="1"/>
  <c r="Q24" i="2" s="1"/>
  <c r="Q15" i="2" s="1"/>
  <c r="Q25" i="2" s="1"/>
  <c r="I30" i="4"/>
  <c r="I31" i="4" s="1"/>
  <c r="I33" i="4" s="1"/>
  <c r="I74" i="4" s="1"/>
  <c r="J15" i="5"/>
  <c r="J7" i="8"/>
  <c r="J9" i="8" s="1"/>
  <c r="P11" i="5"/>
  <c r="L159" i="3"/>
  <c r="I159" i="3" s="1"/>
  <c r="J159" i="3" s="1"/>
  <c r="L165" i="3"/>
  <c r="I165" i="3" s="1"/>
  <c r="J165" i="3" s="1"/>
  <c r="L170" i="3"/>
  <c r="I170" i="3" s="1"/>
  <c r="J170" i="3" s="1"/>
  <c r="L166" i="3"/>
  <c r="I166" i="3" s="1"/>
  <c r="J166" i="3" s="1"/>
  <c r="L163" i="3"/>
  <c r="I163" i="3" s="1"/>
  <c r="J163" i="3" s="1"/>
  <c r="L167" i="3"/>
  <c r="I167" i="3" s="1"/>
  <c r="J167" i="3" s="1"/>
  <c r="L164" i="3"/>
  <c r="I164" i="3" s="1"/>
  <c r="J164" i="3" s="1"/>
  <c r="L162" i="3"/>
  <c r="I162" i="3" s="1"/>
  <c r="J162" i="3" s="1"/>
  <c r="L169" i="3"/>
  <c r="I169" i="3" s="1"/>
  <c r="J169" i="3" s="1"/>
  <c r="L161" i="3"/>
  <c r="I161" i="3" s="1"/>
  <c r="J161" i="3" s="1"/>
  <c r="L168" i="3"/>
  <c r="I168" i="3" s="1"/>
  <c r="J168" i="3" s="1"/>
  <c r="L160" i="3"/>
  <c r="I160" i="3" s="1"/>
  <c r="J160" i="3" s="1"/>
  <c r="P6" i="5"/>
  <c r="P10" i="5" s="1"/>
  <c r="P25" i="2"/>
  <c r="P16" i="2"/>
  <c r="Q45" i="4" s="1"/>
  <c r="R42" i="4" s="1"/>
  <c r="Q16" i="2" l="1"/>
  <c r="R45" i="4" s="1"/>
  <c r="J8" i="8"/>
  <c r="Q11" i="5"/>
  <c r="L172" i="3"/>
  <c r="I172" i="3" s="1"/>
  <c r="J172" i="3" s="1"/>
  <c r="L176" i="3"/>
  <c r="I176" i="3" s="1"/>
  <c r="J176" i="3" s="1"/>
  <c r="L181" i="3"/>
  <c r="I181" i="3" s="1"/>
  <c r="J181" i="3" s="1"/>
  <c r="L174" i="3"/>
  <c r="I174" i="3" s="1"/>
  <c r="J174" i="3" s="1"/>
  <c r="L171" i="3"/>
  <c r="I171" i="3" s="1"/>
  <c r="J171" i="3" s="1"/>
  <c r="L182" i="3"/>
  <c r="I182" i="3" s="1"/>
  <c r="J182" i="3" s="1"/>
  <c r="L179" i="3"/>
  <c r="I179" i="3" s="1"/>
  <c r="J179" i="3" s="1"/>
  <c r="L180" i="3"/>
  <c r="I180" i="3" s="1"/>
  <c r="J180" i="3" s="1"/>
  <c r="L178" i="3"/>
  <c r="I178" i="3" s="1"/>
  <c r="J178" i="3" s="1"/>
  <c r="L173" i="3"/>
  <c r="I173" i="3" s="1"/>
  <c r="J173" i="3" s="1"/>
  <c r="L177" i="3"/>
  <c r="I177" i="3" s="1"/>
  <c r="J177" i="3" s="1"/>
  <c r="L175" i="3"/>
  <c r="I175" i="3" s="1"/>
  <c r="J175" i="3" s="1"/>
  <c r="Q6" i="5"/>
  <c r="Q10" i="5" s="1"/>
  <c r="L187" i="3"/>
  <c r="I187" i="3" s="1"/>
  <c r="J187" i="3" s="1"/>
  <c r="L194" i="3"/>
  <c r="I194" i="3" s="1"/>
  <c r="J194" i="3" s="1"/>
  <c r="L192" i="3"/>
  <c r="I192" i="3" s="1"/>
  <c r="J192" i="3" s="1"/>
  <c r="L186" i="3"/>
  <c r="I186" i="3" s="1"/>
  <c r="J186" i="3" s="1"/>
  <c r="L185" i="3"/>
  <c r="I185" i="3" s="1"/>
  <c r="J185" i="3" s="1"/>
  <c r="L188" i="3"/>
  <c r="I188" i="3" s="1"/>
  <c r="J188" i="3" s="1"/>
  <c r="L193" i="3"/>
  <c r="I193" i="3" s="1"/>
  <c r="J193" i="3" s="1"/>
  <c r="R11" i="5"/>
  <c r="L190" i="3"/>
  <c r="I190" i="3" s="1"/>
  <c r="J190" i="3" s="1"/>
  <c r="L184" i="3"/>
  <c r="I184" i="3" s="1"/>
  <c r="J184" i="3" s="1"/>
  <c r="L191" i="3"/>
  <c r="I191" i="3" s="1"/>
  <c r="J191" i="3" s="1"/>
  <c r="L189" i="3"/>
  <c r="I189" i="3" s="1"/>
  <c r="J189" i="3" s="1"/>
  <c r="L183" i="3"/>
  <c r="I183" i="3" s="1"/>
  <c r="J183" i="3" s="1"/>
  <c r="R6" i="5"/>
  <c r="R10" i="5" s="1"/>
  <c r="P17" i="8"/>
  <c r="P13" i="5"/>
  <c r="J17" i="5"/>
  <c r="J40" i="4" s="1"/>
  <c r="I11" i="8" l="1"/>
  <c r="G11" i="8"/>
  <c r="H11" i="8"/>
  <c r="H18" i="8" s="1"/>
  <c r="H19" i="8" s="1"/>
  <c r="R17" i="8"/>
  <c r="R13" i="5"/>
  <c r="J11" i="8"/>
  <c r="Q17" i="8"/>
  <c r="Q13" i="5"/>
  <c r="J18" i="5"/>
  <c r="D11" i="8"/>
  <c r="D20" i="8" s="1"/>
  <c r="D21" i="8" s="1"/>
  <c r="E11" i="8"/>
  <c r="E18" i="8" s="1"/>
  <c r="E19" i="8" s="1"/>
  <c r="F11" i="8"/>
  <c r="J44" i="4"/>
  <c r="J47" i="4" s="1"/>
  <c r="E20" i="8" l="1"/>
  <c r="E21" i="8" s="1"/>
  <c r="J30" i="4"/>
  <c r="J31" i="4" s="1"/>
  <c r="J33" i="4" s="1"/>
  <c r="K15" i="5"/>
  <c r="K17" i="5" s="1"/>
  <c r="J72" i="4"/>
  <c r="K5" i="8"/>
  <c r="K7" i="8" s="1"/>
  <c r="D22" i="8"/>
  <c r="J74" i="4" l="1"/>
  <c r="F20" i="8"/>
  <c r="F21" i="8" s="1"/>
  <c r="E22" i="8"/>
  <c r="K18" i="5"/>
  <c r="K40" i="4"/>
  <c r="K8" i="8"/>
  <c r="K9" i="8"/>
  <c r="F22" i="8" l="1"/>
  <c r="G20" i="8"/>
  <c r="H20" i="8" s="1"/>
  <c r="K11" i="8"/>
  <c r="K44" i="4"/>
  <c r="K47" i="4" s="1"/>
  <c r="K30" i="4"/>
  <c r="K31" i="4" s="1"/>
  <c r="K33" i="4" s="1"/>
  <c r="L15" i="5"/>
  <c r="G21" i="8" l="1"/>
  <c r="G22" i="8" s="1"/>
  <c r="I20" i="8"/>
  <c r="H21" i="8"/>
  <c r="L17" i="5"/>
  <c r="L40" i="4" s="1"/>
  <c r="L44" i="4" s="1"/>
  <c r="L47" i="4" s="1"/>
  <c r="K72" i="4"/>
  <c r="K74" i="4" s="1"/>
  <c r="L5" i="8"/>
  <c r="L7" i="8" s="1"/>
  <c r="L18" i="5" l="1"/>
  <c r="H22" i="8"/>
  <c r="L8" i="8"/>
  <c r="L9" i="8"/>
  <c r="L30" i="4"/>
  <c r="L31" i="4" s="1"/>
  <c r="L33" i="4" s="1"/>
  <c r="M15" i="5"/>
  <c r="L72" i="4"/>
  <c r="M5" i="8"/>
  <c r="J20" i="8"/>
  <c r="I21" i="8"/>
  <c r="I22" i="8" l="1"/>
  <c r="L11" i="8"/>
  <c r="K20" i="8"/>
  <c r="J21" i="8"/>
  <c r="M7" i="8"/>
  <c r="M9" i="8" s="1"/>
  <c r="L74" i="4"/>
  <c r="M17" i="5"/>
  <c r="M40" i="4" s="1"/>
  <c r="M44" i="4" s="1"/>
  <c r="M47" i="4" s="1"/>
  <c r="J22" i="8" l="1"/>
  <c r="M18" i="5"/>
  <c r="M30" i="4" s="1"/>
  <c r="M31" i="4" s="1"/>
  <c r="M33" i="4" s="1"/>
  <c r="M72" i="4"/>
  <c r="N5" i="8"/>
  <c r="M8" i="8"/>
  <c r="M11" i="8" s="1"/>
  <c r="M18" i="8" s="1"/>
  <c r="L20" i="8"/>
  <c r="K21" i="8"/>
  <c r="K22" i="8" l="1"/>
  <c r="N15" i="5"/>
  <c r="N17" i="5" s="1"/>
  <c r="M20" i="8"/>
  <c r="L21" i="8"/>
  <c r="L22" i="8" s="1"/>
  <c r="N7" i="8"/>
  <c r="N9" i="8" s="1"/>
  <c r="M74" i="4"/>
  <c r="N8" i="8" l="1"/>
  <c r="N11" i="8" s="1"/>
  <c r="N20" i="8" s="1"/>
  <c r="N40" i="4"/>
  <c r="N44" i="4" s="1"/>
  <c r="N47" i="4" s="1"/>
  <c r="N72" i="4" s="1"/>
  <c r="N18" i="5"/>
  <c r="N30" i="4" s="1"/>
  <c r="N31" i="4" s="1"/>
  <c r="N33" i="4" s="1"/>
  <c r="M21" i="8"/>
  <c r="M22" i="8"/>
  <c r="O15" i="5" l="1"/>
  <c r="O17" i="5" s="1"/>
  <c r="O40" i="4" s="1"/>
  <c r="O44" i="4" s="1"/>
  <c r="O47" i="4" s="1"/>
  <c r="O5" i="8"/>
  <c r="O7" i="8" s="1"/>
  <c r="O9" i="8" s="1"/>
  <c r="N74" i="4"/>
  <c r="N21" i="8"/>
  <c r="N22" i="8" s="1"/>
  <c r="O8" i="8" l="1"/>
  <c r="O11" i="8" s="1"/>
  <c r="O20" i="8" s="1"/>
  <c r="O21" i="8" s="1"/>
  <c r="O22" i="8" s="1"/>
  <c r="O18" i="5"/>
  <c r="P5" i="8"/>
  <c r="P7" i="8" s="1"/>
  <c r="O72" i="4"/>
  <c r="P8" i="8" l="1"/>
  <c r="P9" i="8"/>
  <c r="O30" i="4"/>
  <c r="O31" i="4" s="1"/>
  <c r="O33" i="4" s="1"/>
  <c r="O74" i="4" s="1"/>
  <c r="P15" i="5"/>
  <c r="P11" i="8" l="1"/>
  <c r="P20" i="8" s="1"/>
  <c r="P21" i="8" s="1"/>
  <c r="P22" i="8" s="1"/>
  <c r="P17" i="5"/>
  <c r="P40" i="4" s="1"/>
  <c r="P44" i="4" s="1"/>
  <c r="P47" i="4" s="1"/>
  <c r="P72" i="4" l="1"/>
  <c r="Q5" i="8"/>
  <c r="P18" i="5"/>
  <c r="P30" i="4" l="1"/>
  <c r="P31" i="4" s="1"/>
  <c r="P33" i="4" s="1"/>
  <c r="P74" i="4" s="1"/>
  <c r="Q15" i="5"/>
  <c r="Q7" i="8"/>
  <c r="Q9" i="8" s="1"/>
  <c r="Q8" i="8" l="1"/>
  <c r="Q11" i="8" s="1"/>
  <c r="Q20" i="8" s="1"/>
  <c r="Q21" i="8" s="1"/>
  <c r="Q22" i="8" s="1"/>
  <c r="Q17" i="5"/>
  <c r="Q40" i="4" s="1"/>
  <c r="Q44" i="4" s="1"/>
  <c r="Q47" i="4" s="1"/>
  <c r="Q18" i="5" l="1"/>
  <c r="Q30" i="4" s="1"/>
  <c r="Q31" i="4" s="1"/>
  <c r="Q33" i="4" s="1"/>
  <c r="Q72" i="4"/>
  <c r="R5" i="8"/>
  <c r="R15" i="5" l="1"/>
  <c r="R17" i="5" s="1"/>
  <c r="R40" i="4" s="1"/>
  <c r="R44" i="4" s="1"/>
  <c r="R47" i="4" s="1"/>
  <c r="R72" i="4" s="1"/>
  <c r="R7" i="8"/>
  <c r="R9" i="8" s="1"/>
  <c r="Q74" i="4"/>
  <c r="R8" i="8" l="1"/>
  <c r="R11" i="8" s="1"/>
  <c r="R18" i="8" s="1"/>
  <c r="C24" i="8" s="1"/>
  <c r="R18" i="5"/>
  <c r="R30" i="4" s="1"/>
  <c r="R31" i="4" s="1"/>
  <c r="R33" i="4" s="1"/>
  <c r="R74" i="4" s="1"/>
  <c r="R20" i="8" l="1"/>
  <c r="R21" i="8" s="1"/>
  <c r="C23" i="8" l="1"/>
  <c r="R22" i="8"/>
  <c r="C25" i="8" s="1" a="1"/>
  <c r="C2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Neto</author>
  </authors>
  <commentList>
    <comment ref="F4" authorId="0" shapeId="0" xr:uid="{37BC5AD7-5B61-4C85-B0E8-03D3B4086941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Inserir o primeiro ano em que a empresa tem vendas ou presta serviços.</t>
        </r>
      </text>
    </comment>
    <comment ref="F5" authorId="0" shapeId="0" xr:uid="{4785122B-D353-4863-8999-7C96F0E69E00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Entende-se por ritmo cruzeiro o momento de tempo em que o investimento atinge a fase da maturidade (valor entre 3 e 15).</t>
        </r>
      </text>
    </comment>
    <comment ref="C21" authorId="0" shapeId="0" xr:uid="{D32B7EE1-43DB-486B-BA2B-097031F1DEDC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Em % do preço de venda</t>
        </r>
      </text>
    </comment>
    <comment ref="C25" authorId="0" shapeId="0" xr:uid="{A84C2923-817C-4CF7-9A14-00E1EC8CA663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Em % do preço de venda</t>
        </r>
      </text>
    </comment>
    <comment ref="C31" authorId="0" shapeId="0" xr:uid="{B624EE42-878D-4B8E-BD9E-A120EB7A45AC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Em % do preço de venda</t>
        </r>
      </text>
    </comment>
    <comment ref="C35" authorId="0" shapeId="0" xr:uid="{9C1C4F42-2EB4-4646-8EFF-AD8D582872F7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Em % do preço de venda</t>
        </r>
      </text>
    </comment>
    <comment ref="E48" authorId="0" shapeId="0" xr:uid="{E4116D22-C2E5-470E-8574-D4EB5E4E4287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Valor mensal no ano 0.</t>
        </r>
      </text>
    </comment>
    <comment ref="D123" authorId="0" shapeId="0" xr:uid="{FE8A67F0-2E53-4F6E-B629-73570DC93AD5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Inserir valor em meses.</t>
        </r>
      </text>
    </comment>
    <comment ref="E273" authorId="0" shapeId="0" xr:uid="{093110D1-349C-4646-96EB-08C0D3199605}">
      <text>
        <r>
          <rPr>
            <b/>
            <sz val="9"/>
            <color indexed="81"/>
            <rFont val="Tahoma"/>
            <family val="2"/>
          </rPr>
          <t>Neto:</t>
        </r>
        <r>
          <rPr>
            <sz val="9"/>
            <color indexed="81"/>
            <rFont val="Tahoma"/>
            <family val="2"/>
          </rPr>
          <t xml:space="preserve">
Inserir a taxa de crescimento do negócio uma vez atingida o ano cruzeiro.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<sst xmlns="http://schemas.openxmlformats.org/spreadsheetml/2006/main" count="477" uniqueCount="352">
  <si>
    <t>Número de anos até o investimento atingir o ritmo cruzeiro</t>
  </si>
  <si>
    <t>Indicador de projeção</t>
  </si>
  <si>
    <t>Contador</t>
  </si>
  <si>
    <t>Taxa de inflação</t>
  </si>
  <si>
    <t>Ano</t>
  </si>
  <si>
    <t>Taxa de crescimento dos salários</t>
  </si>
  <si>
    <t>Mercadoria 1</t>
  </si>
  <si>
    <t>Mercadoria 2</t>
  </si>
  <si>
    <t>Taxa de IVA</t>
  </si>
  <si>
    <t>Primeiro ano de atividade</t>
  </si>
  <si>
    <t>Produto 1</t>
  </si>
  <si>
    <t>Produto 2</t>
  </si>
  <si>
    <t>Serviço 1</t>
  </si>
  <si>
    <t>Serviço 2</t>
  </si>
  <si>
    <t>DEMONSTRAÇÃO DE RESULTADOS PREVISIONAIS</t>
  </si>
  <si>
    <t>Descrição</t>
  </si>
  <si>
    <t>Vendas e prestação de serviços</t>
  </si>
  <si>
    <t>Fornecimentos e serviços externos</t>
  </si>
  <si>
    <t>Gastos com pessoal</t>
  </si>
  <si>
    <t>EBITDA</t>
  </si>
  <si>
    <t>Gastos de depreciação e de amortização</t>
  </si>
  <si>
    <t>EBIT</t>
  </si>
  <si>
    <t>Gastos de financiamento</t>
  </si>
  <si>
    <t>Resultado antes impostos</t>
  </si>
  <si>
    <t>Imposto sobre o rendimento do período</t>
  </si>
  <si>
    <t>Resultado líquido do período</t>
  </si>
  <si>
    <t>Lucro Tributável</t>
  </si>
  <si>
    <t>Prejuízos Fiscais</t>
  </si>
  <si>
    <t>Prejuízos Fiscais Acumulados Dedutíveis</t>
  </si>
  <si>
    <t>Limite de dedução dos Prejuízos Fiscais</t>
  </si>
  <si>
    <t>Prejuízos fiscais dedutíveis do período</t>
  </si>
  <si>
    <t>Matéria Coletável</t>
  </si>
  <si>
    <t>IRC + Derrama</t>
  </si>
  <si>
    <t>Taxa efetiva de IRC</t>
  </si>
  <si>
    <t>Custo das mercadorias vendidas e matérias consumidas</t>
  </si>
  <si>
    <t>%</t>
  </si>
  <si>
    <t>Eletricidade</t>
  </si>
  <si>
    <t>Combustíveis</t>
  </si>
  <si>
    <t>Água</t>
  </si>
  <si>
    <t>Ferramentas e Utensílios de Desgaste Rápido</t>
  </si>
  <si>
    <t>Material de Escritório</t>
  </si>
  <si>
    <t>Comunicação</t>
  </si>
  <si>
    <t>Seguros</t>
  </si>
  <si>
    <t>Comissões</t>
  </si>
  <si>
    <t>Honorários</t>
  </si>
  <si>
    <t>Serviços Especializados</t>
  </si>
  <si>
    <t>Trabalhos Especializados</t>
  </si>
  <si>
    <t>Publicidade e Propaganda</t>
  </si>
  <si>
    <t>Vigilância e Segurança</t>
  </si>
  <si>
    <t>Conservação e Reparação</t>
  </si>
  <si>
    <t>Subcontratos</t>
  </si>
  <si>
    <t>Materiais</t>
  </si>
  <si>
    <t>Livros e Documentação Técnica</t>
  </si>
  <si>
    <t>Artigos para Oferta</t>
  </si>
  <si>
    <t>Energia e Fluidos</t>
  </si>
  <si>
    <t>Deslocações, Estadas e Transportes</t>
  </si>
  <si>
    <t>Deslocações e Estadas</t>
  </si>
  <si>
    <t>Transportes de Pessoal</t>
  </si>
  <si>
    <t>Transportes de Mercadorias</t>
  </si>
  <si>
    <t>Serviços Diversos</t>
  </si>
  <si>
    <t>Rendas e Alugueres</t>
  </si>
  <si>
    <t>Royalties</t>
  </si>
  <si>
    <t>Contencioso e Notariado</t>
  </si>
  <si>
    <t>Despesas de Representação</t>
  </si>
  <si>
    <t>Limpeza, Higiene e Conforto</t>
  </si>
  <si>
    <t>Outros Serviços</t>
  </si>
  <si>
    <t>Valor mensal</t>
  </si>
  <si>
    <t>Gerência</t>
  </si>
  <si>
    <t>Administrativo</t>
  </si>
  <si>
    <t>Comerciais</t>
  </si>
  <si>
    <t>Salários (valor em euros)</t>
  </si>
  <si>
    <t>% do valor dos salários</t>
  </si>
  <si>
    <t>Subsídio de alimentação</t>
  </si>
  <si>
    <t>Outros gastos com pessoal</t>
  </si>
  <si>
    <t>Iníce de crescimento dos preços</t>
  </si>
  <si>
    <t>Iníce de crescimento dos salários</t>
  </si>
  <si>
    <t>TSU Empresa</t>
  </si>
  <si>
    <t>TSU Colaboradores</t>
  </si>
  <si>
    <t>Taxa de IRC</t>
  </si>
  <si>
    <t>Taxa de retenção IRS</t>
  </si>
  <si>
    <t>Taxa de imposto de selo aplicável aos juros</t>
  </si>
  <si>
    <t>Derrama municipal</t>
  </si>
  <si>
    <t>Outros gastos operacionais</t>
  </si>
  <si>
    <t>% do volume de vendas e serviços prestados</t>
  </si>
  <si>
    <t>Tempo médio de recebimento dos clientes</t>
  </si>
  <si>
    <t>Duração média do stock de matérias primas</t>
  </si>
  <si>
    <t>Duração média do stock de produtos acabados</t>
  </si>
  <si>
    <t>Tempo médio de pagamento a fornecedores</t>
  </si>
  <si>
    <t>Valor</t>
  </si>
  <si>
    <t>Taxa de amortização</t>
  </si>
  <si>
    <t>1. Ativo Fixo Tangível</t>
  </si>
  <si>
    <t>Terrenos e recursos naturais</t>
  </si>
  <si>
    <t>Edificios e outras construções</t>
  </si>
  <si>
    <t>Equipamento básico</t>
  </si>
  <si>
    <t>Equipamento de transporte</t>
  </si>
  <si>
    <t>Equipamento administrativo</t>
  </si>
  <si>
    <t>Outros ativos fixos tangiveis</t>
  </si>
  <si>
    <t>Criar botão para adicionar os elementos que se pretenderem</t>
  </si>
  <si>
    <t>Terreno 1</t>
  </si>
  <si>
    <t>Criar botão para adicionar os elementos</t>
  </si>
  <si>
    <t>Terreno 2</t>
  </si>
  <si>
    <t>Terreno 3</t>
  </si>
  <si>
    <t>Terreno 4</t>
  </si>
  <si>
    <t>Edifícios 1</t>
  </si>
  <si>
    <t>Edifícios 2</t>
  </si>
  <si>
    <t>Edifícios 3</t>
  </si>
  <si>
    <t>Edifícios 4</t>
  </si>
  <si>
    <t>Eq. Básico 1</t>
  </si>
  <si>
    <t>Eq. Básico 2</t>
  </si>
  <si>
    <t>Eq. Básico 3</t>
  </si>
  <si>
    <t>Eq. Básico 4</t>
  </si>
  <si>
    <t>Eq. Transporte 1</t>
  </si>
  <si>
    <t>Eq. Transporte 2</t>
  </si>
  <si>
    <t>Eq. Transporte 3</t>
  </si>
  <si>
    <t>Eq. Transporte 4</t>
  </si>
  <si>
    <t>Eq. Administrativo 1</t>
  </si>
  <si>
    <t>Eq. Administrativo 2</t>
  </si>
  <si>
    <t>Eq. Administrativo 3</t>
  </si>
  <si>
    <t>Eq. Administrativo 4</t>
  </si>
  <si>
    <t>Outros 1</t>
  </si>
  <si>
    <t>Outros 2</t>
  </si>
  <si>
    <t>Outros 3</t>
  </si>
  <si>
    <t>Outros 4</t>
  </si>
  <si>
    <t>Vida útil</t>
  </si>
  <si>
    <t>Sub-Total</t>
  </si>
  <si>
    <t>2. Ativo Intangível</t>
  </si>
  <si>
    <t>Projetos de desenvolvimento</t>
  </si>
  <si>
    <t>Programas de computador</t>
  </si>
  <si>
    <t>Propriedade industrial</t>
  </si>
  <si>
    <t>Outros ativos intangíveis</t>
  </si>
  <si>
    <t>PD 1</t>
  </si>
  <si>
    <t>PD 2</t>
  </si>
  <si>
    <t>PC 1</t>
  </si>
  <si>
    <t>PC 2</t>
  </si>
  <si>
    <t>PD 3</t>
  </si>
  <si>
    <t>PD 4</t>
  </si>
  <si>
    <t>PC 3</t>
  </si>
  <si>
    <t>PC 4</t>
  </si>
  <si>
    <t>PI 1</t>
  </si>
  <si>
    <t>PI 2</t>
  </si>
  <si>
    <t>PI 3</t>
  </si>
  <si>
    <t>PI 4</t>
  </si>
  <si>
    <t>OAI 1</t>
  </si>
  <si>
    <t>OAI 2</t>
  </si>
  <si>
    <t>OAI 3</t>
  </si>
  <si>
    <t>OAI 4</t>
  </si>
  <si>
    <t>Total</t>
  </si>
  <si>
    <t>Depreciações e amortizações do exercício</t>
  </si>
  <si>
    <t>Depreciações do exercício</t>
  </si>
  <si>
    <t>Amortizações do exercício</t>
  </si>
  <si>
    <t>Valor a amortizar</t>
  </si>
  <si>
    <t>11. Depreciações e amortizações do exercício</t>
  </si>
  <si>
    <t>Capital social</t>
  </si>
  <si>
    <t>Fontes de financiamento</t>
  </si>
  <si>
    <t>Empréstimo bancário</t>
  </si>
  <si>
    <t>Valor mínimo de caixa</t>
  </si>
  <si>
    <t>Montante:</t>
  </si>
  <si>
    <t>Taxa de juro anual nominal:</t>
  </si>
  <si>
    <t>Prazo</t>
  </si>
  <si>
    <t>Sistema de amortização</t>
  </si>
  <si>
    <t>Mês</t>
  </si>
  <si>
    <t>Data</t>
  </si>
  <si>
    <t>Capital em dívida</t>
  </si>
  <si>
    <t>Juros</t>
  </si>
  <si>
    <t>Reembolso</t>
  </si>
  <si>
    <t>Prestação</t>
  </si>
  <si>
    <t>Outras despesas</t>
  </si>
  <si>
    <t>Economia fiscal</t>
  </si>
  <si>
    <t>Cash-flow</t>
  </si>
  <si>
    <t>Taxa de IRC EIetiva</t>
  </si>
  <si>
    <t>Financiamentos obtidos (Não Corrente)</t>
  </si>
  <si>
    <t>Financiamentos obtidos (Corrente)</t>
  </si>
  <si>
    <t>Reembolsos</t>
  </si>
  <si>
    <t>Taxa de custo do capital póprio</t>
  </si>
  <si>
    <t>Taxa de juro anual nominal do empréstimo</t>
  </si>
  <si>
    <t>Outros custos associados ao empréstimo bancário:</t>
  </si>
  <si>
    <t>Custos de emissão (em % do empréstimo)</t>
  </si>
  <si>
    <t>Taxa de imposto de selo sobre os juros</t>
  </si>
  <si>
    <t>anos</t>
  </si>
  <si>
    <t>Amortização através de prestações mensais, constantes e postecipadas de capital e juros</t>
  </si>
  <si>
    <t>Prestação mensal</t>
  </si>
  <si>
    <t>BALANÇOS PREVISIONAIS</t>
  </si>
  <si>
    <t>ACTIVO</t>
  </si>
  <si>
    <t>ACTIVO NÃO CORRENTE:</t>
  </si>
  <si>
    <t>Activos fixos tangíveis</t>
  </si>
  <si>
    <t>Propriedades de investimento</t>
  </si>
  <si>
    <t>Activos intangíveis</t>
  </si>
  <si>
    <t>Activos biológicos</t>
  </si>
  <si>
    <t>Participações financeiras - método da equivalência patrimonial</t>
  </si>
  <si>
    <t>Participações financeiras - outros métodos</t>
  </si>
  <si>
    <t>Accionistas / sócios</t>
  </si>
  <si>
    <t>Outros activos financeiros</t>
  </si>
  <si>
    <t>Activos por impostos diferidos</t>
  </si>
  <si>
    <t>Outros activos não correntes</t>
  </si>
  <si>
    <t>Total do activo não corrente</t>
  </si>
  <si>
    <t>ACTIVO CORRENTE:</t>
  </si>
  <si>
    <t>Inventários</t>
  </si>
  <si>
    <t>Clientes</t>
  </si>
  <si>
    <t>Estado e outros entes públicos</t>
  </si>
  <si>
    <t>Accionistas/sócios</t>
  </si>
  <si>
    <t>Outras contas a receber</t>
  </si>
  <si>
    <t>Diferimentos</t>
  </si>
  <si>
    <t>Activos financeiros detidos para negociação</t>
  </si>
  <si>
    <t>Activos não correntes detidos para venda</t>
  </si>
  <si>
    <t>Caixa e depósitos bancários</t>
  </si>
  <si>
    <t>Total do activo corrente</t>
  </si>
  <si>
    <t>Total do activo</t>
  </si>
  <si>
    <t>CAPITAL PRÓPRIO E PASSIVO</t>
  </si>
  <si>
    <t>CAPITAL PRÓPRIO:</t>
  </si>
  <si>
    <t>Capital realizado</t>
  </si>
  <si>
    <t>Acções (quotas) próprias</t>
  </si>
  <si>
    <t>Prestações suplementares e outros inst. capital próprio</t>
  </si>
  <si>
    <t>Prémios de emissão</t>
  </si>
  <si>
    <t>Reservas e resultados transitados</t>
  </si>
  <si>
    <t>Outras variações no capital próprio</t>
  </si>
  <si>
    <t>CAPITAL, RESERVAS E RESULTADOS TRANSITADOS</t>
  </si>
  <si>
    <t>Dividendos antecipados</t>
  </si>
  <si>
    <t>Total do capital próprio</t>
  </si>
  <si>
    <t>PASSIVO:</t>
  </si>
  <si>
    <t>PASSIVO NÃO CORRENTE:</t>
  </si>
  <si>
    <t>Provisões</t>
  </si>
  <si>
    <t>Financiamentos obtidos</t>
  </si>
  <si>
    <t>Responsabilidades por benefícios pós-emprego</t>
  </si>
  <si>
    <t>Passivos por impostos diferidos</t>
  </si>
  <si>
    <t>Outras contas a pagar</t>
  </si>
  <si>
    <t>Total do passivo não corrente</t>
  </si>
  <si>
    <t>PASSIVO CORRENTE:</t>
  </si>
  <si>
    <t>Fornecedores</t>
  </si>
  <si>
    <t>Adiantamentos de clientes</t>
  </si>
  <si>
    <t>Estado e outros entes publicos</t>
  </si>
  <si>
    <t>Passivos financeiros detidos para negociação</t>
  </si>
  <si>
    <t>Outros passivos financeiros</t>
  </si>
  <si>
    <t>Passivos não correntes detidos para venda</t>
  </si>
  <si>
    <t>Outros passivos correntes</t>
  </si>
  <si>
    <t>Total do passivo corrente</t>
  </si>
  <si>
    <t>Total do passivo</t>
  </si>
  <si>
    <t>Total do capital próprio e do passivo</t>
  </si>
  <si>
    <t>Controlo</t>
  </si>
  <si>
    <t>EMPRÉSTIMO BANCÁRIO DE MÉDIO E LONGO PRAZO</t>
  </si>
  <si>
    <t>Impostos sobre o EBIT</t>
  </si>
  <si>
    <t>Investimento em ativo fixo</t>
  </si>
  <si>
    <t>Investimento em necessidades de fundo de maneio</t>
  </si>
  <si>
    <t>Free Cash Flow to Firm</t>
  </si>
  <si>
    <t>+</t>
  </si>
  <si>
    <t>Estado e outros entes públicos (ativo)</t>
  </si>
  <si>
    <t>-</t>
  </si>
  <si>
    <t>Estado e outros entes públicos (passivo)</t>
  </si>
  <si>
    <t>NFM</t>
  </si>
  <si>
    <r>
      <rPr>
        <b/>
        <sz val="9"/>
        <rFont val="Symbol"/>
        <family val="1"/>
        <charset val="2"/>
      </rPr>
      <t xml:space="preserve">D </t>
    </r>
    <r>
      <rPr>
        <b/>
        <sz val="9"/>
        <rFont val="Trebuchet MS"/>
        <family val="2"/>
      </rPr>
      <t>NFM</t>
    </r>
  </si>
  <si>
    <t>ESTADO E OUTROS ENTES PÚBLICOS</t>
  </si>
  <si>
    <t>Imposto sobre o valor acrescentado:</t>
  </si>
  <si>
    <t>IVA liquidado</t>
  </si>
  <si>
    <t>IVA dedutível</t>
  </si>
  <si>
    <t>IVA apuramento</t>
  </si>
  <si>
    <t>IVA a recuperar</t>
  </si>
  <si>
    <t>IVA a pagar</t>
  </si>
  <si>
    <t>Si Estado IVA</t>
  </si>
  <si>
    <t>Sf Estado IVA</t>
  </si>
  <si>
    <t>Contribuições para a segurança social:</t>
  </si>
  <si>
    <t>Contribuições para a segurança Social</t>
  </si>
  <si>
    <t>Si Estado Seg. Social</t>
  </si>
  <si>
    <t>Sf Estado Seg. Social</t>
  </si>
  <si>
    <t>Imposto sobre o rendimento das pessoas singulares:</t>
  </si>
  <si>
    <t>Retenções de imposto sobre o rendimento</t>
  </si>
  <si>
    <t>Si Estado - IRS</t>
  </si>
  <si>
    <t>Sf Estado - IRS</t>
  </si>
  <si>
    <t>Custo das mercadorias vendidas:</t>
  </si>
  <si>
    <t>Stock final de matérias.primas:</t>
  </si>
  <si>
    <t>Duração média do stock de mercadorias</t>
  </si>
  <si>
    <t>Stock inicial de mercadorias:</t>
  </si>
  <si>
    <t>Stock final de mercadorias:</t>
  </si>
  <si>
    <t>Stock inicial de matérias.primas:</t>
  </si>
  <si>
    <t>Compras de mercadorias:</t>
  </si>
  <si>
    <t>Custo das matérias consumidas:</t>
  </si>
  <si>
    <t>Compra de matérias-primas:</t>
  </si>
  <si>
    <t>Tempo médio de pagamento do IVA</t>
  </si>
  <si>
    <t>Tempo médio de pagamento da SS e IRS retido</t>
  </si>
  <si>
    <t>COMPRAS DE MERCADORIAS E MATÉRIAS PRIMAS</t>
  </si>
  <si>
    <t>VARIAÇÃO DOS INVENTÁRIOS DA PRODUÇÃO</t>
  </si>
  <si>
    <t>Variação dos inventários da produção</t>
  </si>
  <si>
    <t>Stock inicial de produtos acabados</t>
  </si>
  <si>
    <t>Stock final de produtos acabados</t>
  </si>
  <si>
    <t xml:space="preserve">Caixa </t>
  </si>
  <si>
    <t>Gastos de financiamento líquidos de impostos</t>
  </si>
  <si>
    <t>Variação do endividamento</t>
  </si>
  <si>
    <t>Free Cash Flow to Equity</t>
  </si>
  <si>
    <t>Depreciações acumuladas</t>
  </si>
  <si>
    <t>Depreciações e amortizações acumuladas</t>
  </si>
  <si>
    <t>Amortizações acumuladas</t>
  </si>
  <si>
    <t>Ativo fixo tangível e intangível bruto</t>
  </si>
  <si>
    <t>Ativos fixos tangíveis</t>
  </si>
  <si>
    <t>Ativos intangíveis</t>
  </si>
  <si>
    <t>Outros rendimentos e gastos</t>
  </si>
  <si>
    <t>Prestações Suplementares</t>
  </si>
  <si>
    <t>Caixa e depósitos bancários (antes de prestações suplementares)</t>
  </si>
  <si>
    <t>Caixa e depósitos bancários (depois de prestações suplementares)</t>
  </si>
  <si>
    <t>Aumento de capital</t>
  </si>
  <si>
    <t>NECESSIDADES DE FUNDO DE MANEIO</t>
  </si>
  <si>
    <t>FREE CASH FLOW TO FIRM E FREE CASH FLOW TO FIRM</t>
  </si>
  <si>
    <t>AVALIAÇÃO</t>
  </si>
  <si>
    <t>TAXA DE CUSTO DE OPORTUNIDADE DO CAPITAL</t>
  </si>
  <si>
    <t>Capital prório (%)</t>
  </si>
  <si>
    <t>Endivivamento (%)</t>
  </si>
  <si>
    <t>Capital prório (início do ano)</t>
  </si>
  <si>
    <t>Endivivamento (início do ano)</t>
  </si>
  <si>
    <t>Total do capital (início do ano)</t>
  </si>
  <si>
    <t>Taxa de custo médio ponderado do capital</t>
  </si>
  <si>
    <t>Valor residual</t>
  </si>
  <si>
    <t>13. Valor da perpetuidade</t>
  </si>
  <si>
    <t>Taxa de crescimento da perpetuidade</t>
  </si>
  <si>
    <t>Fator de atualização</t>
  </si>
  <si>
    <t>Free Cash Flow to Firm atualizado</t>
  </si>
  <si>
    <t>Free Cash Flow to Firm atualizado acumulado</t>
  </si>
  <si>
    <t>Valor atual líquido</t>
  </si>
  <si>
    <t>Taxa interna de retabilidade</t>
  </si>
  <si>
    <t>Payback period modificado</t>
  </si>
  <si>
    <t>Variação nos inventários da produção</t>
  </si>
  <si>
    <t/>
  </si>
  <si>
    <t>Quantidade</t>
  </si>
  <si>
    <t>Preço de Venda</t>
  </si>
  <si>
    <t>Margem Bruta</t>
  </si>
  <si>
    <t>Quadro de pessoal</t>
  </si>
  <si>
    <t>Nº de trabalhadores</t>
  </si>
  <si>
    <t>Salário mensal</t>
  </si>
  <si>
    <t>Outra informação:</t>
  </si>
  <si>
    <t>Outros gastos com pessoal (% dos Salários)</t>
  </si>
  <si>
    <t>1. Informação sobre o investimento e pressupostos gerais</t>
  </si>
  <si>
    <t>2. Vendas e serviços prestados</t>
  </si>
  <si>
    <t>2.1. Vendas de mercadorias (valor em euros)</t>
  </si>
  <si>
    <t>2.2. Vendas de produtos (valor em euros)</t>
  </si>
  <si>
    <t>2.3. Prestação de serviços (valor em euros)</t>
  </si>
  <si>
    <t>3. Fornecimento e serviços externos (valores em euros)</t>
  </si>
  <si>
    <t>4. Gastos com pessoal</t>
  </si>
  <si>
    <t>5. Outros gastos operacionais</t>
  </si>
  <si>
    <t>7. Parâmetros de funcionamento</t>
  </si>
  <si>
    <t>6. Taxas fiscais e segurança social</t>
  </si>
  <si>
    <t>8. Plano de Investimento</t>
  </si>
  <si>
    <t>9. Fontes de financiamento</t>
  </si>
  <si>
    <t>Valor de aquisição</t>
  </si>
  <si>
    <t>Ano de aquisição</t>
  </si>
  <si>
    <t>item</t>
  </si>
  <si>
    <t>Camião 1</t>
  </si>
  <si>
    <t>V.aquisição</t>
  </si>
  <si>
    <t>AFT</t>
  </si>
  <si>
    <t>Patente</t>
  </si>
  <si>
    <t>AI</t>
  </si>
  <si>
    <t>Tipo de Ativo</t>
  </si>
  <si>
    <t>Classe</t>
  </si>
  <si>
    <t>Ativo fixo tangível</t>
  </si>
  <si>
    <t>Patentes</t>
  </si>
  <si>
    <t>Depreciações cumuladas</t>
  </si>
  <si>
    <t>Ativo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</si>
</sst>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€&quot;;[Red]\-#,##0.00\ &quot;€&quot;"/>
    <numFmt numFmtId="165" formatCode="0.000"/>
    <numFmt numFmtId="166" formatCode="#,##0.000"/>
    <numFmt numFmtId="167" formatCode="#,##0.0"/>
    <numFmt numFmtId="168" formatCode="dd\-mm\-yyyy;@"/>
    <numFmt numFmtId="169" formatCode="#,##0;\(#,##0\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rebuchet MS"/>
      <family val="2"/>
    </font>
    <font>
      <b/>
      <sz val="9"/>
      <color rgb="FFC00000"/>
      <name val="Trebuchet MS"/>
      <family val="2"/>
    </font>
    <font>
      <b/>
      <sz val="9"/>
      <color theme="1"/>
      <name val="Trebuchet MS"/>
      <family val="2"/>
    </font>
    <font>
      <sz val="9"/>
      <color theme="1"/>
      <name val="Trebuchet MS"/>
      <family val="2"/>
    </font>
    <font>
      <sz val="9"/>
      <color theme="1" tint="4.9989318521683403E-2"/>
      <name val="Trebuchet MS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b/>
      <u/>
      <sz val="9"/>
      <color theme="1"/>
      <name val="Trebuchet MS"/>
      <family val="2"/>
    </font>
    <font>
      <sz val="11"/>
      <color rgb="FF006100"/>
      <name val="Calibri"/>
      <family val="2"/>
      <scheme val="minor"/>
    </font>
    <font>
      <b/>
      <sz val="9"/>
      <color theme="1" tint="4.9989318521683403E-2"/>
      <name val="Trebuchet MS"/>
      <family val="2"/>
    </font>
    <font>
      <sz val="9"/>
      <color rgb="FF006100"/>
      <name val="Trebuchet MS"/>
      <family val="2"/>
    </font>
    <font>
      <b/>
      <sz val="9"/>
      <name val="Trebuchet MS"/>
      <family val="2"/>
    </font>
    <font>
      <sz val="10"/>
      <color theme="1"/>
      <name val="calibri"/>
      <family val="2"/>
    </font>
    <font>
      <b/>
      <sz val="9"/>
      <name val="Trebuchet MS"/>
      <family val="1"/>
      <charset val="2"/>
    </font>
    <font>
      <b/>
      <sz val="9"/>
      <name val="Symbol"/>
      <family val="1"/>
      <charset val="2"/>
    </font>
    <font>
      <b/>
      <sz val="9"/>
      <color theme="1"/>
      <name val="Calibri"/>
      <family val="2"/>
      <scheme val="minor"/>
    </font>
    <font>
      <b/>
      <sz val="9"/>
      <color theme="0"/>
      <name val="Trebuchet MS"/>
      <family val="2"/>
    </font>
    <font>
      <sz val="9"/>
      <color theme="0"/>
      <name val="Trebuchet MS"/>
      <family val="2"/>
    </font>
    <font>
      <b/>
      <sz val="11"/>
      <color theme="1"/>
      <name val="Calibri"/>
      <family val="2"/>
      <scheme val="minor"/>
    </font>
    <font>
      <sz val="9"/>
      <color rgb="FFFF0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rgb="FFC00000"/>
      </top>
      <bottom/>
      <diagonal/>
    </border>
    <border>
      <left/>
      <right/>
      <top/>
      <bottom style="hair">
        <color rgb="FFC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2" fillId="4" borderId="0" applyNumberFormat="0" applyBorder="0" applyAlignment="0" applyProtection="0"/>
    <xf numFmtId="0" fontId="16" fillId="0" borderId="0"/>
    <xf numFmtId="9" fontId="16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0" xfId="0" applyFont="1" applyAlignment="1">
      <alignment horizontal="left" indent="3"/>
    </xf>
    <xf numFmtId="0" fontId="5" fillId="2" borderId="0" xfId="0" applyFont="1" applyFill="1"/>
    <xf numFmtId="9" fontId="5" fillId="2" borderId="0" xfId="0" applyNumberFormat="1" applyFont="1" applyFill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0" fontId="5" fillId="2" borderId="0" xfId="0" applyNumberFormat="1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9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0" fontId="4" fillId="0" borderId="1" xfId="0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indent="5"/>
    </xf>
    <xf numFmtId="3" fontId="5" fillId="2" borderId="0" xfId="0" applyNumberFormat="1" applyFont="1" applyFill="1"/>
    <xf numFmtId="3" fontId="5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centerContinuous"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4" fillId="0" borderId="3" xfId="0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10" fontId="4" fillId="0" borderId="0" xfId="1" applyNumberFormat="1" applyFont="1"/>
    <xf numFmtId="3" fontId="7" fillId="0" borderId="0" xfId="0" applyNumberFormat="1" applyFont="1" applyAlignment="1">
      <alignment vertical="center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3" fontId="5" fillId="2" borderId="0" xfId="0" applyNumberFormat="1" applyFont="1" applyFill="1" applyAlignment="1">
      <alignment horizontal="center"/>
    </xf>
    <xf numFmtId="3" fontId="5" fillId="0" borderId="0" xfId="0" applyNumberFormat="1" applyFont="1" applyAlignment="1">
      <alignment horizontal="right"/>
    </xf>
    <xf numFmtId="165" fontId="5" fillId="0" borderId="0" xfId="0" applyNumberFormat="1" applyFont="1"/>
    <xf numFmtId="166" fontId="5" fillId="0" borderId="0" xfId="0" applyNumberFormat="1" applyFont="1"/>
    <xf numFmtId="4" fontId="5" fillId="0" borderId="0" xfId="0" applyNumberFormat="1" applyFont="1" applyAlignment="1">
      <alignment vertical="center"/>
    </xf>
    <xf numFmtId="167" fontId="5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left" indent="2"/>
    </xf>
    <xf numFmtId="0" fontId="5" fillId="2" borderId="0" xfId="0" applyFont="1" applyFill="1" applyAlignment="1">
      <alignment horizontal="left" indent="8"/>
    </xf>
    <xf numFmtId="3" fontId="4" fillId="0" borderId="0" xfId="0" applyNumberFormat="1" applyFont="1"/>
    <xf numFmtId="3" fontId="4" fillId="0" borderId="4" xfId="0" applyNumberFormat="1" applyFont="1" applyBorder="1"/>
    <xf numFmtId="0" fontId="5" fillId="0" borderId="0" xfId="0" applyFont="1" applyAlignment="1">
      <alignment horizontal="left" indent="8"/>
    </xf>
    <xf numFmtId="10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168" fontId="5" fillId="0" borderId="4" xfId="0" applyNumberFormat="1" applyFont="1" applyBorder="1" applyAlignment="1">
      <alignment horizontal="center" vertical="center"/>
    </xf>
    <xf numFmtId="4" fontId="5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0" fontId="5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0" fontId="5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3" fontId="6" fillId="0" borderId="0" xfId="0" applyNumberFormat="1" applyFont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3" fontId="13" fillId="0" borderId="1" xfId="0" applyNumberFormat="1" applyFont="1" applyBorder="1" applyAlignment="1">
      <alignment vertical="center"/>
    </xf>
    <xf numFmtId="3" fontId="13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169" fontId="6" fillId="0" borderId="2" xfId="0" applyNumberFormat="1" applyFont="1" applyBorder="1" applyAlignment="1">
      <alignment vertical="center"/>
    </xf>
    <xf numFmtId="169" fontId="13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3" fontId="13" fillId="0" borderId="2" xfId="0" applyNumberFormat="1" applyFont="1" applyBorder="1" applyAlignment="1">
      <alignment vertical="center"/>
    </xf>
    <xf numFmtId="3" fontId="14" fillId="0" borderId="0" xfId="2" applyNumberFormat="1" applyFont="1" applyFill="1" applyBorder="1" applyAlignment="1">
      <alignment vertical="center"/>
    </xf>
    <xf numFmtId="166" fontId="14" fillId="0" borderId="0" xfId="2" applyNumberFormat="1" applyFont="1" applyFill="1" applyBorder="1" applyAlignment="1">
      <alignment vertical="center"/>
    </xf>
    <xf numFmtId="0" fontId="7" fillId="0" borderId="0" xfId="0" applyFont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indent="2"/>
    </xf>
    <xf numFmtId="0" fontId="5" fillId="0" borderId="2" xfId="0" applyFont="1" applyBorder="1" applyAlignment="1">
      <alignment horizontal="left" vertical="center" indent="2"/>
    </xf>
    <xf numFmtId="3" fontId="5" fillId="0" borderId="2" xfId="0" applyNumberFormat="1" applyFont="1" applyBorder="1" applyAlignment="1">
      <alignment horizontal="left" vertical="center" indent="2"/>
    </xf>
    <xf numFmtId="0" fontId="4" fillId="0" borderId="0" xfId="0" applyFont="1" applyAlignment="1">
      <alignment horizontal="left" vertical="center"/>
    </xf>
    <xf numFmtId="3" fontId="6" fillId="0" borderId="3" xfId="0" applyNumberFormat="1" applyFont="1" applyBorder="1" applyAlignment="1">
      <alignment vertical="center"/>
    </xf>
    <xf numFmtId="3" fontId="5" fillId="0" borderId="2" xfId="0" applyNumberFormat="1" applyFont="1" applyBorder="1" applyAlignment="1">
      <alignment horizontal="right" vertical="center"/>
    </xf>
    <xf numFmtId="10" fontId="2" fillId="0" borderId="0" xfId="1" applyNumberFormat="1" applyFont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10" fontId="4" fillId="0" borderId="1" xfId="1" applyNumberFormat="1" applyFont="1" applyBorder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4" fillId="0" borderId="2" xfId="3" applyFont="1" applyBorder="1" applyAlignment="1">
      <alignment vertical="center"/>
    </xf>
    <xf numFmtId="3" fontId="4" fillId="5" borderId="0" xfId="0" applyNumberFormat="1" applyFont="1" applyFill="1" applyAlignment="1">
      <alignment horizontal="right" vertical="center"/>
    </xf>
    <xf numFmtId="10" fontId="4" fillId="5" borderId="0" xfId="1" applyNumberFormat="1" applyFont="1" applyFill="1" applyAlignment="1">
      <alignment horizontal="right" vertical="center"/>
    </xf>
    <xf numFmtId="2" fontId="4" fillId="5" borderId="2" xfId="3" applyNumberFormat="1" applyFont="1" applyFill="1" applyBorder="1" applyAlignment="1">
      <alignment vertical="center"/>
    </xf>
    <xf numFmtId="0" fontId="5" fillId="0" borderId="5" xfId="0" applyFont="1" applyBorder="1" applyAlignment="1">
      <alignment horizontal="left"/>
    </xf>
    <xf numFmtId="0" fontId="5" fillId="2" borderId="5" xfId="0" applyFont="1" applyFill="1" applyBorder="1" applyAlignment="1">
      <alignment horizontal="left" indent="5"/>
    </xf>
    <xf numFmtId="3" fontId="5" fillId="2" borderId="5" xfId="0" applyNumberFormat="1" applyFont="1" applyFill="1" applyBorder="1" applyAlignment="1">
      <alignment horizontal="right"/>
    </xf>
    <xf numFmtId="0" fontId="5" fillId="0" borderId="6" xfId="0" applyFont="1" applyBorder="1" applyAlignment="1">
      <alignment horizontal="left"/>
    </xf>
    <xf numFmtId="3" fontId="5" fillId="2" borderId="6" xfId="0" applyNumberFormat="1" applyFont="1" applyFill="1" applyBorder="1" applyAlignment="1">
      <alignment horizontal="right"/>
    </xf>
    <xf numFmtId="0" fontId="5" fillId="0" borderId="6" xfId="0" applyFont="1" applyBorder="1" applyAlignment="1">
      <alignment horizontal="left" indent="5"/>
    </xf>
    <xf numFmtId="9" fontId="5" fillId="2" borderId="0" xfId="1" applyFont="1" applyFill="1" applyBorder="1" applyAlignment="1">
      <alignment horizontal="right"/>
    </xf>
    <xf numFmtId="9" fontId="5" fillId="2" borderId="6" xfId="1" applyFont="1" applyFill="1" applyBorder="1" applyAlignment="1">
      <alignment horizontal="right"/>
    </xf>
    <xf numFmtId="9" fontId="5" fillId="0" borderId="5" xfId="0" applyNumberFormat="1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0" fontId="5" fillId="0" borderId="5" xfId="0" applyFont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0" borderId="6" xfId="0" applyFont="1" applyBorder="1"/>
    <xf numFmtId="2" fontId="5" fillId="2" borderId="0" xfId="0" applyNumberFormat="1" applyFont="1" applyFill="1"/>
    <xf numFmtId="10" fontId="5" fillId="2" borderId="0" xfId="1" applyNumberFormat="1" applyFont="1" applyFill="1"/>
    <xf numFmtId="0" fontId="20" fillId="0" borderId="0" xfId="0" applyFont="1" applyAlignment="1">
      <alignment horizontal="center"/>
    </xf>
    <xf numFmtId="3" fontId="21" fillId="0" borderId="0" xfId="0" applyNumberFormat="1" applyFont="1" applyAlignment="1">
      <alignment horizontal="right"/>
    </xf>
    <xf numFmtId="0" fontId="20" fillId="0" borderId="0" xfId="0" applyFont="1" applyAlignment="1">
      <alignment horizontal="center" wrapText="1"/>
    </xf>
    <xf numFmtId="9" fontId="21" fillId="0" borderId="0" xfId="0" applyNumberFormat="1" applyFont="1" applyAlignment="1">
      <alignment horizontal="center"/>
    </xf>
    <xf numFmtId="10" fontId="21" fillId="0" borderId="0" xfId="0" applyNumberFormat="1" applyFont="1" applyAlignment="1">
      <alignment horizontal="center"/>
    </xf>
    <xf numFmtId="0" fontId="2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/>
    </xf>
    <xf numFmtId="9" fontId="23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3" fontId="23" fillId="6" borderId="0" xfId="0" applyNumberFormat="1" applyFont="1" applyFill="1"/>
    <xf numFmtId="3" fontId="23" fillId="0" borderId="0" xfId="0" applyNumberFormat="1" applyFont="1" applyAlignment="1">
      <alignment horizontal="right"/>
    </xf>
  </cellXfs>
  <cellStyles count="5">
    <cellStyle name="Good" xfId="2" builtinId="26"/>
    <cellStyle name="Normal" xfId="0" builtinId="0"/>
    <cellStyle name="Normal 2" xfId="3" xr:uid="{1B1FBFB6-72AB-431B-8928-7F37B16E98A0}"/>
    <cellStyle name="Percent" xfId="1" builtinId="5"/>
    <cellStyle name="Percent 2" xfId="4" xr:uid="{92D3DA88-DB42-4421-894B-1245EDE401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B6FF-D729-4EEA-990A-41894B856070}">
  <dimension ref="A2:V273"/>
  <sheetViews>
    <sheetView showGridLines="0" tabSelected="1" topLeftCell="A129" workbookViewId="0">
      <selection activeCell="B265" sqref="B265:B269"/>
    </sheetView>
  </sheetViews>
  <sheetFormatPr defaultRowHeight="13.2"/>
  <cols>
    <col min="1" max="1" width="8.88671875" style="4"/>
    <col min="2" max="2" width="46.5546875" style="4" bestFit="1" customWidth="1"/>
    <col min="3" max="3" width="19.44140625" style="4" customWidth="1"/>
    <col min="4" max="5" width="11" style="4" customWidth="1"/>
    <col min="6" max="6" width="8.88671875" style="4"/>
    <col min="7" max="7" width="9.5546875" style="4" bestFit="1" customWidth="1"/>
    <col min="8" max="16384" width="8.88671875" style="4"/>
  </cols>
  <sheetData>
    <row r="2" spans="2:20">
      <c r="B2" s="16" t="s">
        <v>326</v>
      </c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4" spans="2:20">
      <c r="B4" s="4" t="s">
        <v>9</v>
      </c>
      <c r="F4" s="7">
        <v>2024</v>
      </c>
    </row>
    <row r="5" spans="2:20">
      <c r="B5" s="4" t="s">
        <v>0</v>
      </c>
      <c r="F5" s="7">
        <v>2</v>
      </c>
    </row>
    <row r="7" spans="2:20">
      <c r="B7" s="4" t="s">
        <v>2</v>
      </c>
      <c r="F7" s="4">
        <v>1</v>
      </c>
      <c r="G7" s="4">
        <f>F7+1</f>
        <v>2</v>
      </c>
      <c r="H7" s="4">
        <f t="shared" ref="H7:T7" si="0">G7+1</f>
        <v>3</v>
      </c>
      <c r="I7" s="4">
        <f t="shared" si="0"/>
        <v>4</v>
      </c>
      <c r="J7" s="4">
        <f t="shared" si="0"/>
        <v>5</v>
      </c>
      <c r="K7" s="4">
        <f t="shared" si="0"/>
        <v>6</v>
      </c>
      <c r="L7" s="4">
        <f t="shared" si="0"/>
        <v>7</v>
      </c>
      <c r="M7" s="4">
        <f t="shared" si="0"/>
        <v>8</v>
      </c>
      <c r="N7" s="4">
        <f t="shared" si="0"/>
        <v>9</v>
      </c>
      <c r="O7" s="4">
        <f t="shared" si="0"/>
        <v>10</v>
      </c>
      <c r="P7" s="4">
        <f t="shared" si="0"/>
        <v>11</v>
      </c>
      <c r="Q7" s="4">
        <f t="shared" si="0"/>
        <v>12</v>
      </c>
      <c r="R7" s="4">
        <f t="shared" si="0"/>
        <v>13</v>
      </c>
      <c r="S7" s="4">
        <f t="shared" si="0"/>
        <v>14</v>
      </c>
      <c r="T7" s="4">
        <f t="shared" si="0"/>
        <v>15</v>
      </c>
    </row>
    <row r="8" spans="2:20">
      <c r="B8" s="4" t="s">
        <v>1</v>
      </c>
      <c r="F8" s="4">
        <f t="shared" ref="F8:T8" si="1">IF(F7&lt;=$F$5,1,0)</f>
        <v>1</v>
      </c>
      <c r="G8" s="4">
        <f t="shared" si="1"/>
        <v>1</v>
      </c>
      <c r="H8" s="4">
        <f t="shared" si="1"/>
        <v>0</v>
      </c>
      <c r="I8" s="4">
        <f t="shared" si="1"/>
        <v>0</v>
      </c>
      <c r="J8" s="4">
        <f t="shared" si="1"/>
        <v>0</v>
      </c>
      <c r="K8" s="4">
        <f t="shared" si="1"/>
        <v>0</v>
      </c>
      <c r="L8" s="4">
        <f t="shared" si="1"/>
        <v>0</v>
      </c>
      <c r="M8" s="4">
        <f t="shared" si="1"/>
        <v>0</v>
      </c>
      <c r="N8" s="4">
        <f t="shared" si="1"/>
        <v>0</v>
      </c>
      <c r="O8" s="4">
        <f t="shared" si="1"/>
        <v>0</v>
      </c>
      <c r="P8" s="4">
        <f t="shared" si="1"/>
        <v>0</v>
      </c>
      <c r="Q8" s="4">
        <f t="shared" si="1"/>
        <v>0</v>
      </c>
      <c r="R8" s="4">
        <f t="shared" si="1"/>
        <v>0</v>
      </c>
      <c r="S8" s="4">
        <f t="shared" si="1"/>
        <v>0</v>
      </c>
      <c r="T8" s="4">
        <f t="shared" si="1"/>
        <v>0</v>
      </c>
    </row>
    <row r="10" spans="2:20">
      <c r="B10" s="4" t="s">
        <v>4</v>
      </c>
      <c r="E10" s="19">
        <v>2023</v>
      </c>
      <c r="F10" s="19">
        <f>IF(F$8=1,F$4,"")</f>
        <v>2024</v>
      </c>
      <c r="G10" s="19">
        <f>IF(G$8=1,F10+1,"")</f>
        <v>2025</v>
      </c>
      <c r="H10" s="19" t="str">
        <f t="shared" ref="H10:T10" si="2">IF(H$8=1,G10+1,"")</f>
        <v/>
      </c>
      <c r="I10" s="19" t="str">
        <f t="shared" si="2"/>
        <v/>
      </c>
      <c r="J10" s="19" t="str">
        <f t="shared" si="2"/>
        <v/>
      </c>
      <c r="K10" s="19" t="str">
        <f t="shared" si="2"/>
        <v/>
      </c>
      <c r="L10" s="19" t="str">
        <f t="shared" si="2"/>
        <v/>
      </c>
      <c r="M10" s="19" t="str">
        <f t="shared" si="2"/>
        <v/>
      </c>
      <c r="N10" s="19" t="str">
        <f t="shared" si="2"/>
        <v/>
      </c>
      <c r="O10" s="19" t="str">
        <f t="shared" si="2"/>
        <v/>
      </c>
      <c r="P10" s="19" t="str">
        <f t="shared" si="2"/>
        <v/>
      </c>
      <c r="Q10" s="19" t="str">
        <f t="shared" si="2"/>
        <v/>
      </c>
      <c r="R10" s="19" t="str">
        <f t="shared" si="2"/>
        <v/>
      </c>
      <c r="S10" s="19" t="str">
        <f t="shared" si="2"/>
        <v/>
      </c>
      <c r="T10" s="19" t="str">
        <f t="shared" si="2"/>
        <v/>
      </c>
    </row>
    <row r="11" spans="2:20" ht="29.4" customHeight="1">
      <c r="B11" s="4" t="s">
        <v>3</v>
      </c>
      <c r="F11" s="8">
        <f>IF(F10&lt;&gt;"",2%,"")</f>
        <v>0.02</v>
      </c>
      <c r="G11" s="8">
        <f t="shared" ref="G11:T11" si="3">IF(G10&lt;&gt;"",2%,"")</f>
        <v>0.02</v>
      </c>
      <c r="H11" s="8" t="str">
        <f t="shared" si="3"/>
        <v/>
      </c>
      <c r="I11" s="8" t="str">
        <f t="shared" si="3"/>
        <v/>
      </c>
      <c r="J11" s="8" t="str">
        <f t="shared" si="3"/>
        <v/>
      </c>
      <c r="K11" s="8" t="str">
        <f t="shared" si="3"/>
        <v/>
      </c>
      <c r="L11" s="8" t="str">
        <f t="shared" si="3"/>
        <v/>
      </c>
      <c r="M11" s="8" t="str">
        <f t="shared" si="3"/>
        <v/>
      </c>
      <c r="N11" s="8" t="str">
        <f t="shared" si="3"/>
        <v/>
      </c>
      <c r="O11" s="8" t="str">
        <f t="shared" si="3"/>
        <v/>
      </c>
      <c r="P11" s="8" t="str">
        <f t="shared" si="3"/>
        <v/>
      </c>
      <c r="Q11" s="8" t="str">
        <f t="shared" si="3"/>
        <v/>
      </c>
      <c r="R11" s="8" t="str">
        <f t="shared" si="3"/>
        <v/>
      </c>
      <c r="S11" s="8" t="str">
        <f t="shared" si="3"/>
        <v/>
      </c>
      <c r="T11" s="8" t="str">
        <f t="shared" si="3"/>
        <v/>
      </c>
    </row>
    <row r="12" spans="2:20" ht="24.6" customHeight="1">
      <c r="B12" s="4" t="s">
        <v>74</v>
      </c>
      <c r="E12" s="42">
        <v>1</v>
      </c>
      <c r="F12" s="43">
        <f>IF(F10&lt;&gt;"",E12*(1+F11),"")</f>
        <v>1.02</v>
      </c>
      <c r="G12" s="43">
        <f>IF(G10&lt;&gt;"",F12*(1+G11),"")</f>
        <v>1.0404</v>
      </c>
      <c r="H12" s="43" t="str">
        <f t="shared" ref="H12:T12" si="4">IF(H10&lt;&gt;"",G12*(1+H11),"")</f>
        <v/>
      </c>
      <c r="I12" s="43" t="str">
        <f t="shared" si="4"/>
        <v/>
      </c>
      <c r="J12" s="43" t="str">
        <f t="shared" si="4"/>
        <v/>
      </c>
      <c r="K12" s="43" t="str">
        <f t="shared" si="4"/>
        <v/>
      </c>
      <c r="L12" s="43" t="str">
        <f t="shared" si="4"/>
        <v/>
      </c>
      <c r="M12" s="43" t="str">
        <f t="shared" si="4"/>
        <v/>
      </c>
      <c r="N12" s="43" t="str">
        <f t="shared" si="4"/>
        <v/>
      </c>
      <c r="O12" s="43" t="str">
        <f t="shared" si="4"/>
        <v/>
      </c>
      <c r="P12" s="43" t="str">
        <f t="shared" si="4"/>
        <v/>
      </c>
      <c r="Q12" s="43" t="str">
        <f t="shared" si="4"/>
        <v/>
      </c>
      <c r="R12" s="43" t="str">
        <f t="shared" si="4"/>
        <v/>
      </c>
      <c r="S12" s="43" t="str">
        <f t="shared" si="4"/>
        <v/>
      </c>
      <c r="T12" s="43" t="str">
        <f t="shared" si="4"/>
        <v/>
      </c>
    </row>
    <row r="13" spans="2:20" ht="18" customHeight="1">
      <c r="B13" s="4" t="s">
        <v>5</v>
      </c>
      <c r="F13" s="8">
        <f t="shared" ref="F13:T13" si="5">IF(F10&lt;&gt;"",2%,"")</f>
        <v>0.02</v>
      </c>
      <c r="G13" s="8">
        <f t="shared" si="5"/>
        <v>0.02</v>
      </c>
      <c r="H13" s="8" t="str">
        <f t="shared" si="5"/>
        <v/>
      </c>
      <c r="I13" s="8" t="str">
        <f t="shared" si="5"/>
        <v/>
      </c>
      <c r="J13" s="8" t="str">
        <f t="shared" si="5"/>
        <v/>
      </c>
      <c r="K13" s="8" t="str">
        <f t="shared" si="5"/>
        <v/>
      </c>
      <c r="L13" s="8" t="str">
        <f t="shared" si="5"/>
        <v/>
      </c>
      <c r="M13" s="8" t="str">
        <f t="shared" si="5"/>
        <v/>
      </c>
      <c r="N13" s="8" t="str">
        <f t="shared" si="5"/>
        <v/>
      </c>
      <c r="O13" s="8" t="str">
        <f t="shared" si="5"/>
        <v/>
      </c>
      <c r="P13" s="8" t="str">
        <f t="shared" si="5"/>
        <v/>
      </c>
      <c r="Q13" s="8" t="str">
        <f t="shared" si="5"/>
        <v/>
      </c>
      <c r="R13" s="8" t="str">
        <f t="shared" si="5"/>
        <v/>
      </c>
      <c r="S13" s="8" t="str">
        <f t="shared" si="5"/>
        <v/>
      </c>
      <c r="T13" s="8" t="str">
        <f t="shared" si="5"/>
        <v/>
      </c>
    </row>
    <row r="14" spans="2:20" ht="15.6" customHeight="1">
      <c r="B14" s="4" t="s">
        <v>75</v>
      </c>
      <c r="E14" s="42"/>
      <c r="F14" s="43">
        <v>1</v>
      </c>
      <c r="G14" s="43">
        <f t="shared" ref="G14:T14" si="6">IF(G12&lt;&gt;"",F14*(1+G13),"")</f>
        <v>1.02</v>
      </c>
      <c r="H14" s="43" t="str">
        <f t="shared" si="6"/>
        <v/>
      </c>
      <c r="I14" s="43" t="str">
        <f t="shared" si="6"/>
        <v/>
      </c>
      <c r="J14" s="43" t="str">
        <f t="shared" si="6"/>
        <v/>
      </c>
      <c r="K14" s="43" t="str">
        <f t="shared" si="6"/>
        <v/>
      </c>
      <c r="L14" s="43" t="str">
        <f t="shared" si="6"/>
        <v/>
      </c>
      <c r="M14" s="43" t="str">
        <f t="shared" si="6"/>
        <v/>
      </c>
      <c r="N14" s="43" t="str">
        <f t="shared" si="6"/>
        <v/>
      </c>
      <c r="O14" s="43" t="str">
        <f t="shared" si="6"/>
        <v/>
      </c>
      <c r="P14" s="43" t="str">
        <f t="shared" si="6"/>
        <v/>
      </c>
      <c r="Q14" s="43" t="str">
        <f t="shared" si="6"/>
        <v/>
      </c>
      <c r="R14" s="43" t="str">
        <f t="shared" si="6"/>
        <v/>
      </c>
      <c r="S14" s="43" t="str">
        <f t="shared" si="6"/>
        <v/>
      </c>
      <c r="T14" s="43" t="str">
        <f t="shared" si="6"/>
        <v/>
      </c>
    </row>
    <row r="16" spans="2:20">
      <c r="B16" s="16" t="s">
        <v>327</v>
      </c>
      <c r="C16" s="1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8" spans="1:20">
      <c r="B18" s="19" t="s">
        <v>328</v>
      </c>
      <c r="C18" s="19"/>
      <c r="D18" s="19"/>
      <c r="E18" s="19"/>
      <c r="F18" s="19">
        <f>IF(F$8=1,F$4,"")</f>
        <v>2024</v>
      </c>
      <c r="G18" s="19">
        <f t="shared" ref="G18:T18" si="7">IF(G$8=1,F18+1,"")</f>
        <v>2025</v>
      </c>
      <c r="H18" s="19" t="str">
        <f t="shared" si="7"/>
        <v/>
      </c>
      <c r="I18" s="19" t="str">
        <f t="shared" si="7"/>
        <v/>
      </c>
      <c r="J18" s="19" t="str">
        <f t="shared" si="7"/>
        <v/>
      </c>
      <c r="K18" s="19" t="str">
        <f t="shared" si="7"/>
        <v/>
      </c>
      <c r="L18" s="19" t="str">
        <f t="shared" si="7"/>
        <v/>
      </c>
      <c r="M18" s="19" t="str">
        <f t="shared" si="7"/>
        <v/>
      </c>
      <c r="N18" s="19" t="str">
        <f t="shared" si="7"/>
        <v/>
      </c>
      <c r="O18" s="19" t="str">
        <f t="shared" si="7"/>
        <v/>
      </c>
      <c r="P18" s="19" t="str">
        <f t="shared" si="7"/>
        <v/>
      </c>
      <c r="Q18" s="19" t="str">
        <f t="shared" si="7"/>
        <v/>
      </c>
      <c r="R18" s="19" t="str">
        <f t="shared" si="7"/>
        <v/>
      </c>
      <c r="S18" s="19" t="str">
        <f t="shared" si="7"/>
        <v/>
      </c>
      <c r="T18" s="19" t="str">
        <f t="shared" si="7"/>
        <v/>
      </c>
    </row>
    <row r="19" spans="1:20">
      <c r="A19" s="137" t="s">
        <v>97</v>
      </c>
      <c r="B19" s="114" t="s">
        <v>6</v>
      </c>
      <c r="C19" s="113" t="s">
        <v>318</v>
      </c>
      <c r="D19" s="113"/>
      <c r="E19" s="113"/>
      <c r="F19" s="115">
        <v>20000</v>
      </c>
      <c r="G19" s="115">
        <v>25000</v>
      </c>
      <c r="H19" s="115">
        <v>28000</v>
      </c>
      <c r="I19" s="115">
        <v>30000</v>
      </c>
      <c r="J19" s="115">
        <v>35000</v>
      </c>
      <c r="K19" s="115"/>
      <c r="L19" s="115"/>
      <c r="M19" s="115"/>
      <c r="N19" s="115"/>
      <c r="O19" s="115"/>
      <c r="P19" s="115"/>
      <c r="Q19" s="115"/>
      <c r="R19" s="115"/>
      <c r="S19" s="115"/>
      <c r="T19" s="115"/>
    </row>
    <row r="20" spans="1:20">
      <c r="A20" s="137"/>
      <c r="B20" s="21"/>
      <c r="C20" s="9" t="s">
        <v>319</v>
      </c>
      <c r="D20" s="9"/>
      <c r="E20" s="9"/>
      <c r="F20" s="23">
        <v>10</v>
      </c>
      <c r="G20" s="23">
        <v>12</v>
      </c>
      <c r="H20" s="23">
        <v>13</v>
      </c>
      <c r="I20" s="23">
        <v>13</v>
      </c>
      <c r="J20" s="23">
        <v>14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>
      <c r="A21" s="137"/>
      <c r="B21" s="21"/>
      <c r="C21" s="9" t="s">
        <v>320</v>
      </c>
      <c r="D21" s="9"/>
      <c r="E21" s="9"/>
      <c r="F21" s="119">
        <v>0.5</v>
      </c>
      <c r="G21" s="119">
        <v>0.5</v>
      </c>
      <c r="H21" s="119">
        <v>0.5</v>
      </c>
      <c r="I21" s="119">
        <v>0.5</v>
      </c>
      <c r="J21" s="119">
        <v>0.4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spans="1:20">
      <c r="A22" s="137"/>
      <c r="B22" s="118"/>
      <c r="C22" s="116" t="s">
        <v>8</v>
      </c>
      <c r="D22" s="116"/>
      <c r="E22" s="116"/>
      <c r="F22" s="120">
        <v>0.23</v>
      </c>
      <c r="G22" s="120">
        <v>0.23</v>
      </c>
      <c r="H22" s="120">
        <v>0.23</v>
      </c>
      <c r="I22" s="120">
        <v>0.23</v>
      </c>
      <c r="J22" s="120">
        <v>0.23</v>
      </c>
      <c r="K22" s="117"/>
      <c r="L22" s="117"/>
      <c r="M22" s="117"/>
      <c r="N22" s="117"/>
      <c r="O22" s="117"/>
      <c r="P22" s="117"/>
      <c r="Q22" s="117"/>
      <c r="R22" s="117"/>
      <c r="S22" s="117"/>
      <c r="T22" s="117"/>
    </row>
    <row r="23" spans="1:20">
      <c r="A23" s="137"/>
      <c r="B23" s="114" t="s">
        <v>7</v>
      </c>
      <c r="C23" s="113" t="s">
        <v>318</v>
      </c>
      <c r="D23" s="113"/>
      <c r="E23" s="113"/>
      <c r="F23" s="115">
        <v>2000</v>
      </c>
      <c r="G23" s="115">
        <v>2500</v>
      </c>
      <c r="H23" s="115">
        <v>2800</v>
      </c>
      <c r="I23" s="115">
        <v>3000</v>
      </c>
      <c r="J23" s="115">
        <v>3500</v>
      </c>
      <c r="K23" s="115"/>
      <c r="L23" s="115"/>
      <c r="M23" s="115"/>
      <c r="N23" s="115"/>
      <c r="O23" s="115"/>
      <c r="P23" s="115"/>
      <c r="Q23" s="115"/>
      <c r="R23" s="115"/>
      <c r="S23" s="115"/>
      <c r="T23" s="115"/>
    </row>
    <row r="24" spans="1:20">
      <c r="A24" s="137"/>
      <c r="B24" s="21"/>
      <c r="C24" s="9" t="s">
        <v>319</v>
      </c>
      <c r="D24" s="9"/>
      <c r="E24" s="9"/>
      <c r="F24" s="23">
        <v>10</v>
      </c>
      <c r="G24" s="23">
        <v>12</v>
      </c>
      <c r="H24" s="23">
        <v>13</v>
      </c>
      <c r="I24" s="23">
        <v>13</v>
      </c>
      <c r="J24" s="23">
        <v>14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>
      <c r="A25" s="137"/>
      <c r="B25" s="21"/>
      <c r="C25" s="9" t="s">
        <v>320</v>
      </c>
      <c r="D25" s="9"/>
      <c r="E25" s="9"/>
      <c r="F25" s="119">
        <v>0.5</v>
      </c>
      <c r="G25" s="119">
        <v>0.5</v>
      </c>
      <c r="H25" s="119">
        <v>0.5</v>
      </c>
      <c r="I25" s="119">
        <v>0.5</v>
      </c>
      <c r="J25" s="119">
        <v>0.4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>
      <c r="A26" s="137"/>
      <c r="B26" s="118"/>
      <c r="C26" s="116" t="s">
        <v>8</v>
      </c>
      <c r="D26" s="116"/>
      <c r="E26" s="116"/>
      <c r="F26" s="120">
        <v>0.23</v>
      </c>
      <c r="G26" s="120">
        <v>0.23</v>
      </c>
      <c r="H26" s="120">
        <v>0.23</v>
      </c>
      <c r="I26" s="120">
        <v>0.23</v>
      </c>
      <c r="J26" s="120">
        <v>0.23</v>
      </c>
      <c r="K26" s="117"/>
      <c r="L26" s="117"/>
      <c r="M26" s="117"/>
      <c r="N26" s="117"/>
      <c r="O26" s="117"/>
      <c r="P26" s="117"/>
      <c r="Q26" s="117"/>
      <c r="R26" s="117"/>
      <c r="S26" s="117"/>
      <c r="T26" s="117"/>
    </row>
    <row r="28" spans="1:20">
      <c r="B28" s="19" t="s">
        <v>329</v>
      </c>
      <c r="C28" s="19"/>
      <c r="D28" s="10"/>
      <c r="E28" s="10"/>
      <c r="F28" s="19">
        <f>IF(F$8=1,F$4,"")</f>
        <v>2024</v>
      </c>
      <c r="G28" s="19">
        <f t="shared" ref="G28:T28" si="8">IF(G$8=1,F28+1,"")</f>
        <v>2025</v>
      </c>
      <c r="H28" s="19" t="str">
        <f t="shared" si="8"/>
        <v/>
      </c>
      <c r="I28" s="19" t="str">
        <f t="shared" si="8"/>
        <v/>
      </c>
      <c r="J28" s="19" t="str">
        <f t="shared" si="8"/>
        <v/>
      </c>
      <c r="K28" s="19" t="str">
        <f t="shared" si="8"/>
        <v/>
      </c>
      <c r="L28" s="19" t="str">
        <f t="shared" si="8"/>
        <v/>
      </c>
      <c r="M28" s="19" t="str">
        <f t="shared" si="8"/>
        <v/>
      </c>
      <c r="N28" s="19" t="str">
        <f t="shared" si="8"/>
        <v/>
      </c>
      <c r="O28" s="19" t="str">
        <f t="shared" si="8"/>
        <v/>
      </c>
      <c r="P28" s="19" t="str">
        <f t="shared" si="8"/>
        <v/>
      </c>
      <c r="Q28" s="19" t="str">
        <f t="shared" si="8"/>
        <v/>
      </c>
      <c r="R28" s="19" t="str">
        <f t="shared" si="8"/>
        <v/>
      </c>
      <c r="S28" s="19" t="str">
        <f t="shared" si="8"/>
        <v/>
      </c>
      <c r="T28" s="19" t="str">
        <f t="shared" si="8"/>
        <v/>
      </c>
    </row>
    <row r="29" spans="1:20">
      <c r="A29" s="137" t="s">
        <v>97</v>
      </c>
      <c r="B29" s="114" t="s">
        <v>10</v>
      </c>
      <c r="C29" s="113" t="s">
        <v>318</v>
      </c>
      <c r="D29" s="113"/>
      <c r="E29" s="113"/>
      <c r="F29" s="115">
        <v>2000</v>
      </c>
      <c r="G29" s="115">
        <v>2500</v>
      </c>
      <c r="H29" s="115">
        <v>2800</v>
      </c>
      <c r="I29" s="115">
        <v>3000</v>
      </c>
      <c r="J29" s="115">
        <v>3500</v>
      </c>
      <c r="K29" s="115"/>
      <c r="L29" s="115"/>
      <c r="M29" s="115"/>
      <c r="N29" s="115"/>
      <c r="O29" s="115"/>
      <c r="P29" s="115"/>
      <c r="Q29" s="115"/>
      <c r="R29" s="115"/>
      <c r="S29" s="115"/>
      <c r="T29" s="115"/>
    </row>
    <row r="30" spans="1:20">
      <c r="A30" s="137"/>
      <c r="B30" s="21"/>
      <c r="C30" s="9" t="s">
        <v>319</v>
      </c>
      <c r="D30" s="9"/>
      <c r="E30" s="9"/>
      <c r="F30" s="23">
        <v>10</v>
      </c>
      <c r="G30" s="23">
        <v>12</v>
      </c>
      <c r="H30" s="23">
        <v>13</v>
      </c>
      <c r="I30" s="23">
        <v>13</v>
      </c>
      <c r="J30" s="23">
        <v>14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>
      <c r="A31" s="137"/>
      <c r="B31" s="21"/>
      <c r="C31" s="9" t="s">
        <v>320</v>
      </c>
      <c r="D31" s="9"/>
      <c r="E31" s="9"/>
      <c r="F31" s="119">
        <v>0.5</v>
      </c>
      <c r="G31" s="119">
        <v>0.5</v>
      </c>
      <c r="H31" s="119">
        <v>0.5</v>
      </c>
      <c r="I31" s="119">
        <v>0.5</v>
      </c>
      <c r="J31" s="119">
        <v>0.4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spans="1:20">
      <c r="A32" s="137"/>
      <c r="B32" s="118"/>
      <c r="C32" s="116" t="s">
        <v>8</v>
      </c>
      <c r="D32" s="116"/>
      <c r="E32" s="116"/>
      <c r="F32" s="120">
        <v>0.23</v>
      </c>
      <c r="G32" s="120">
        <v>0.23</v>
      </c>
      <c r="H32" s="120">
        <v>0.23</v>
      </c>
      <c r="I32" s="120">
        <v>0.23</v>
      </c>
      <c r="J32" s="120">
        <v>0.23</v>
      </c>
      <c r="K32" s="117"/>
      <c r="L32" s="117"/>
      <c r="M32" s="117"/>
      <c r="N32" s="117"/>
      <c r="O32" s="117"/>
      <c r="P32" s="117"/>
      <c r="Q32" s="117"/>
      <c r="R32" s="117"/>
      <c r="S32" s="117"/>
      <c r="T32" s="117"/>
    </row>
    <row r="33" spans="1:20">
      <c r="A33" s="137"/>
      <c r="B33" s="114" t="s">
        <v>11</v>
      </c>
      <c r="C33" s="113" t="s">
        <v>318</v>
      </c>
      <c r="D33" s="113"/>
      <c r="E33" s="113"/>
      <c r="F33" s="115">
        <v>2000</v>
      </c>
      <c r="G33" s="115">
        <v>2500</v>
      </c>
      <c r="H33" s="115">
        <v>2800</v>
      </c>
      <c r="I33" s="115">
        <v>3000</v>
      </c>
      <c r="J33" s="115">
        <v>3500</v>
      </c>
      <c r="K33" s="115"/>
      <c r="L33" s="115"/>
      <c r="M33" s="115"/>
      <c r="N33" s="115"/>
      <c r="O33" s="115"/>
      <c r="P33" s="115"/>
      <c r="Q33" s="115"/>
      <c r="R33" s="115"/>
      <c r="S33" s="115"/>
      <c r="T33" s="115"/>
    </row>
    <row r="34" spans="1:20">
      <c r="A34" s="137"/>
      <c r="B34" s="21"/>
      <c r="C34" s="9" t="s">
        <v>319</v>
      </c>
      <c r="D34" s="9"/>
      <c r="E34" s="9"/>
      <c r="F34" s="23">
        <v>10</v>
      </c>
      <c r="G34" s="23">
        <v>12</v>
      </c>
      <c r="H34" s="23">
        <v>13</v>
      </c>
      <c r="I34" s="23">
        <v>13</v>
      </c>
      <c r="J34" s="23">
        <v>14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>
      <c r="A35" s="137"/>
      <c r="B35" s="21"/>
      <c r="C35" s="9" t="s">
        <v>320</v>
      </c>
      <c r="D35" s="9"/>
      <c r="E35" s="9"/>
      <c r="F35" s="119">
        <v>0.5</v>
      </c>
      <c r="G35" s="119">
        <v>0.5</v>
      </c>
      <c r="H35" s="119">
        <v>0.5</v>
      </c>
      <c r="I35" s="119">
        <v>0.5</v>
      </c>
      <c r="J35" s="119">
        <v>0.4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>
      <c r="A36" s="137"/>
      <c r="B36" s="118"/>
      <c r="C36" s="116" t="s">
        <v>8</v>
      </c>
      <c r="D36" s="116"/>
      <c r="E36" s="116"/>
      <c r="F36" s="120">
        <v>0.23</v>
      </c>
      <c r="G36" s="120">
        <v>0.23</v>
      </c>
      <c r="H36" s="120">
        <v>0.23</v>
      </c>
      <c r="I36" s="120">
        <v>0.23</v>
      </c>
      <c r="J36" s="120">
        <v>0.23</v>
      </c>
      <c r="K36" s="117"/>
      <c r="L36" s="117"/>
      <c r="M36" s="117"/>
      <c r="N36" s="117"/>
      <c r="O36" s="117"/>
      <c r="P36" s="117"/>
      <c r="Q36" s="117"/>
      <c r="R36" s="117"/>
      <c r="S36" s="117"/>
      <c r="T36" s="117"/>
    </row>
    <row r="38" spans="1:20">
      <c r="B38" s="19" t="s">
        <v>330</v>
      </c>
      <c r="C38" s="19"/>
      <c r="D38" s="10"/>
      <c r="E38" s="10"/>
      <c r="F38" s="19">
        <f>IF(F$8=1,F$4,"")</f>
        <v>2024</v>
      </c>
      <c r="G38" s="19">
        <f t="shared" ref="G38:T38" si="9">IF(G$8=1,F38+1,"")</f>
        <v>2025</v>
      </c>
      <c r="H38" s="19" t="str">
        <f t="shared" si="9"/>
        <v/>
      </c>
      <c r="I38" s="19" t="str">
        <f t="shared" si="9"/>
        <v/>
      </c>
      <c r="J38" s="19" t="str">
        <f t="shared" si="9"/>
        <v/>
      </c>
      <c r="K38" s="19" t="str">
        <f t="shared" si="9"/>
        <v/>
      </c>
      <c r="L38" s="19" t="str">
        <f t="shared" si="9"/>
        <v/>
      </c>
      <c r="M38" s="19" t="str">
        <f t="shared" si="9"/>
        <v/>
      </c>
      <c r="N38" s="19" t="str">
        <f t="shared" si="9"/>
        <v/>
      </c>
      <c r="O38" s="19" t="str">
        <f t="shared" si="9"/>
        <v/>
      </c>
      <c r="P38" s="19" t="str">
        <f t="shared" si="9"/>
        <v/>
      </c>
      <c r="Q38" s="19" t="str">
        <f t="shared" si="9"/>
        <v/>
      </c>
      <c r="R38" s="19" t="str">
        <f t="shared" si="9"/>
        <v/>
      </c>
      <c r="S38" s="19" t="str">
        <f t="shared" si="9"/>
        <v/>
      </c>
      <c r="T38" s="19" t="str">
        <f t="shared" si="9"/>
        <v/>
      </c>
    </row>
    <row r="39" spans="1:20">
      <c r="A39" s="137" t="s">
        <v>97</v>
      </c>
      <c r="B39" s="114" t="s">
        <v>12</v>
      </c>
      <c r="C39" s="113" t="s">
        <v>318</v>
      </c>
      <c r="D39" s="121"/>
      <c r="E39" s="121"/>
      <c r="F39" s="115">
        <v>2000</v>
      </c>
      <c r="G39" s="115">
        <v>2500</v>
      </c>
      <c r="H39" s="115">
        <v>2800</v>
      </c>
      <c r="I39" s="115">
        <v>3000</v>
      </c>
      <c r="J39" s="115">
        <v>3500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0">
      <c r="A40" s="137"/>
      <c r="B40" s="21"/>
      <c r="C40" s="9" t="s">
        <v>319</v>
      </c>
      <c r="D40" s="39"/>
      <c r="E40" s="39"/>
      <c r="F40" s="23">
        <v>10</v>
      </c>
      <c r="G40" s="23">
        <v>12</v>
      </c>
      <c r="H40" s="23">
        <v>13</v>
      </c>
      <c r="I40" s="23">
        <v>13</v>
      </c>
      <c r="J40" s="23">
        <v>14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>
      <c r="A41" s="137"/>
      <c r="B41" s="118"/>
      <c r="C41" s="116" t="s">
        <v>8</v>
      </c>
      <c r="D41" s="122"/>
      <c r="E41" s="122"/>
      <c r="F41" s="120">
        <v>0.23</v>
      </c>
      <c r="G41" s="120">
        <v>0.23</v>
      </c>
      <c r="H41" s="120">
        <v>0.23</v>
      </c>
      <c r="I41" s="120">
        <v>0.23</v>
      </c>
      <c r="J41" s="120">
        <v>0.23</v>
      </c>
      <c r="K41" s="117"/>
      <c r="L41" s="117"/>
      <c r="M41" s="117"/>
      <c r="N41" s="117"/>
      <c r="O41" s="117"/>
      <c r="P41" s="117"/>
      <c r="Q41" s="117"/>
      <c r="R41" s="117"/>
      <c r="S41" s="117"/>
      <c r="T41" s="117"/>
    </row>
    <row r="42" spans="1:20">
      <c r="A42" s="137"/>
      <c r="B42" s="114" t="s">
        <v>13</v>
      </c>
      <c r="C42" s="113" t="s">
        <v>318</v>
      </c>
      <c r="D42" s="121"/>
      <c r="E42" s="121"/>
      <c r="F42" s="115">
        <v>2000</v>
      </c>
      <c r="G42" s="115">
        <v>2500</v>
      </c>
      <c r="H42" s="115">
        <v>2800</v>
      </c>
      <c r="I42" s="115">
        <v>3000</v>
      </c>
      <c r="J42" s="115">
        <v>3500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1:20">
      <c r="A43" s="137"/>
      <c r="B43" s="21"/>
      <c r="C43" s="9" t="s">
        <v>319</v>
      </c>
      <c r="D43" s="39"/>
      <c r="E43" s="39"/>
      <c r="F43" s="23">
        <v>10</v>
      </c>
      <c r="G43" s="23">
        <v>12</v>
      </c>
      <c r="H43" s="23">
        <v>13</v>
      </c>
      <c r="I43" s="23">
        <v>13</v>
      </c>
      <c r="J43" s="23">
        <v>14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spans="1:20">
      <c r="A44" s="137"/>
      <c r="B44" s="118"/>
      <c r="C44" s="116" t="s">
        <v>8</v>
      </c>
      <c r="D44" s="122"/>
      <c r="E44" s="122"/>
      <c r="F44" s="120">
        <v>0.23</v>
      </c>
      <c r="G44" s="120">
        <v>0.23</v>
      </c>
      <c r="H44" s="120">
        <v>0.23</v>
      </c>
      <c r="I44" s="120">
        <v>0.23</v>
      </c>
      <c r="J44" s="120">
        <v>0.23</v>
      </c>
      <c r="K44" s="117"/>
      <c r="L44" s="117"/>
      <c r="M44" s="117"/>
      <c r="N44" s="117"/>
      <c r="O44" s="117"/>
      <c r="P44" s="117"/>
      <c r="Q44" s="117"/>
      <c r="R44" s="117"/>
      <c r="S44" s="117"/>
      <c r="T44" s="117"/>
    </row>
    <row r="46" spans="1:20">
      <c r="B46" s="16" t="s">
        <v>331</v>
      </c>
      <c r="C46" s="1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8" spans="1:20">
      <c r="B48" s="10" t="s">
        <v>15</v>
      </c>
      <c r="C48" s="10"/>
      <c r="D48" s="35" t="s">
        <v>8</v>
      </c>
      <c r="E48" s="35" t="s">
        <v>66</v>
      </c>
      <c r="F48" s="19">
        <f>IF(F$8=1,F$4,"")</f>
        <v>2024</v>
      </c>
      <c r="G48" s="19">
        <f t="shared" ref="G48:T48" si="10">IF(G$8=1,F48+1,"")</f>
        <v>2025</v>
      </c>
      <c r="H48" s="19" t="str">
        <f t="shared" si="10"/>
        <v/>
      </c>
      <c r="I48" s="19" t="str">
        <f t="shared" si="10"/>
        <v/>
      </c>
      <c r="J48" s="19" t="str">
        <f t="shared" si="10"/>
        <v/>
      </c>
      <c r="K48" s="19" t="str">
        <f t="shared" si="10"/>
        <v/>
      </c>
      <c r="L48" s="19" t="str">
        <f t="shared" si="10"/>
        <v/>
      </c>
      <c r="M48" s="19" t="str">
        <f t="shared" si="10"/>
        <v/>
      </c>
      <c r="N48" s="19" t="str">
        <f t="shared" si="10"/>
        <v/>
      </c>
      <c r="O48" s="19" t="str">
        <f t="shared" si="10"/>
        <v/>
      </c>
      <c r="P48" s="19" t="str">
        <f t="shared" si="10"/>
        <v/>
      </c>
      <c r="Q48" s="19" t="str">
        <f t="shared" si="10"/>
        <v/>
      </c>
      <c r="R48" s="19" t="str">
        <f t="shared" si="10"/>
        <v/>
      </c>
      <c r="S48" s="19" t="str">
        <f t="shared" si="10"/>
        <v/>
      </c>
      <c r="T48" s="19" t="str">
        <f t="shared" si="10"/>
        <v/>
      </c>
    </row>
    <row r="49" spans="2:20">
      <c r="B49" s="19" t="s">
        <v>50</v>
      </c>
      <c r="C49" s="19"/>
    </row>
    <row r="50" spans="2:20">
      <c r="B50" s="20" t="s">
        <v>50</v>
      </c>
      <c r="C50" s="20"/>
      <c r="D50" s="12">
        <v>0.23</v>
      </c>
      <c r="E50" s="40">
        <v>100</v>
      </c>
      <c r="F50" s="23">
        <f>IF(F$8=1,E50*12*(1+F$11),"")</f>
        <v>1224</v>
      </c>
      <c r="G50" s="23">
        <f t="shared" ref="G50:T50" si="11">IF(G$8=1,F50*(1+G$11),"")</f>
        <v>1248.48</v>
      </c>
      <c r="H50" s="23" t="str">
        <f t="shared" si="11"/>
        <v/>
      </c>
      <c r="I50" s="23" t="str">
        <f t="shared" si="11"/>
        <v/>
      </c>
      <c r="J50" s="23" t="str">
        <f t="shared" si="11"/>
        <v/>
      </c>
      <c r="K50" s="23" t="str">
        <f t="shared" si="11"/>
        <v/>
      </c>
      <c r="L50" s="23" t="str">
        <f t="shared" si="11"/>
        <v/>
      </c>
      <c r="M50" s="23" t="str">
        <f t="shared" si="11"/>
        <v/>
      </c>
      <c r="N50" s="23" t="str">
        <f t="shared" si="11"/>
        <v/>
      </c>
      <c r="O50" s="23" t="str">
        <f t="shared" si="11"/>
        <v/>
      </c>
      <c r="P50" s="23" t="str">
        <f t="shared" si="11"/>
        <v/>
      </c>
      <c r="Q50" s="23" t="str">
        <f t="shared" si="11"/>
        <v/>
      </c>
      <c r="R50" s="23" t="str">
        <f t="shared" si="11"/>
        <v/>
      </c>
      <c r="S50" s="23" t="str">
        <f t="shared" si="11"/>
        <v/>
      </c>
      <c r="T50" s="23" t="str">
        <f t="shared" si="11"/>
        <v/>
      </c>
    </row>
    <row r="51" spans="2:20">
      <c r="B51" s="19" t="s">
        <v>45</v>
      </c>
      <c r="C51" s="19"/>
      <c r="E51" s="14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spans="2:20">
      <c r="B52" s="20" t="s">
        <v>46</v>
      </c>
      <c r="C52" s="20"/>
      <c r="D52" s="12">
        <v>0.23</v>
      </c>
      <c r="E52" s="40">
        <v>60</v>
      </c>
      <c r="F52" s="23">
        <f>IF(F$8=1,E52*12*(1+F$11),"")</f>
        <v>734.4</v>
      </c>
      <c r="G52" s="23">
        <f>IF(G$8=1,F52*(1+G$11),"")</f>
        <v>749.08799999999997</v>
      </c>
      <c r="H52" s="23" t="str">
        <f t="shared" ref="G52:T52" si="12">IF(H$8=1,G52*(1+H$11),"")</f>
        <v/>
      </c>
      <c r="I52" s="23" t="str">
        <f t="shared" si="12"/>
        <v/>
      </c>
      <c r="J52" s="23" t="str">
        <f t="shared" si="12"/>
        <v/>
      </c>
      <c r="K52" s="23" t="str">
        <f t="shared" si="12"/>
        <v/>
      </c>
      <c r="L52" s="23" t="str">
        <f t="shared" si="12"/>
        <v/>
      </c>
      <c r="M52" s="23" t="str">
        <f t="shared" si="12"/>
        <v/>
      </c>
      <c r="N52" s="23" t="str">
        <f t="shared" si="12"/>
        <v/>
      </c>
      <c r="O52" s="23" t="str">
        <f t="shared" si="12"/>
        <v/>
      </c>
      <c r="P52" s="23" t="str">
        <f t="shared" si="12"/>
        <v/>
      </c>
      <c r="Q52" s="23" t="str">
        <f t="shared" si="12"/>
        <v/>
      </c>
      <c r="R52" s="23" t="str">
        <f t="shared" si="12"/>
        <v/>
      </c>
      <c r="S52" s="23" t="str">
        <f t="shared" si="12"/>
        <v/>
      </c>
      <c r="T52" s="23" t="str">
        <f t="shared" si="12"/>
        <v/>
      </c>
    </row>
    <row r="53" spans="2:20">
      <c r="B53" s="20" t="s">
        <v>47</v>
      </c>
      <c r="C53" s="20"/>
      <c r="D53" s="12">
        <v>0.23</v>
      </c>
      <c r="E53" s="40">
        <v>20</v>
      </c>
      <c r="F53" s="23">
        <f>IF(F$8=1,E53*12*(1+F$11),"")</f>
        <v>244.8</v>
      </c>
      <c r="G53" s="23">
        <f t="shared" ref="G53:T53" si="13">IF(G$8=1,F53*(1+G$11),"")</f>
        <v>249.69600000000003</v>
      </c>
      <c r="H53" s="23" t="str">
        <f t="shared" si="13"/>
        <v/>
      </c>
      <c r="I53" s="23" t="str">
        <f t="shared" si="13"/>
        <v/>
      </c>
      <c r="J53" s="23" t="str">
        <f t="shared" si="13"/>
        <v/>
      </c>
      <c r="K53" s="23" t="str">
        <f t="shared" si="13"/>
        <v/>
      </c>
      <c r="L53" s="23" t="str">
        <f t="shared" si="13"/>
        <v/>
      </c>
      <c r="M53" s="23" t="str">
        <f t="shared" si="13"/>
        <v/>
      </c>
      <c r="N53" s="23" t="str">
        <f t="shared" si="13"/>
        <v/>
      </c>
      <c r="O53" s="23" t="str">
        <f t="shared" si="13"/>
        <v/>
      </c>
      <c r="P53" s="23" t="str">
        <f t="shared" si="13"/>
        <v/>
      </c>
      <c r="Q53" s="23" t="str">
        <f t="shared" si="13"/>
        <v/>
      </c>
      <c r="R53" s="23" t="str">
        <f t="shared" si="13"/>
        <v/>
      </c>
      <c r="S53" s="23" t="str">
        <f t="shared" si="13"/>
        <v/>
      </c>
      <c r="T53" s="23" t="str">
        <f t="shared" si="13"/>
        <v/>
      </c>
    </row>
    <row r="54" spans="2:20">
      <c r="B54" s="20" t="s">
        <v>48</v>
      </c>
      <c r="C54" s="20"/>
      <c r="D54" s="12">
        <v>0.23</v>
      </c>
      <c r="E54" s="40">
        <v>40</v>
      </c>
      <c r="F54" s="23">
        <f>IF(F$8=1,E54*12*(1+F$11),"")</f>
        <v>489.6</v>
      </c>
      <c r="G54" s="23">
        <f t="shared" ref="G54:T54" si="14">IF(G$8=1,F54*(1+G$11),"")</f>
        <v>499.39200000000005</v>
      </c>
      <c r="H54" s="23" t="str">
        <f t="shared" si="14"/>
        <v/>
      </c>
      <c r="I54" s="23" t="str">
        <f t="shared" si="14"/>
        <v/>
      </c>
      <c r="J54" s="23" t="str">
        <f t="shared" si="14"/>
        <v/>
      </c>
      <c r="K54" s="23" t="str">
        <f t="shared" si="14"/>
        <v/>
      </c>
      <c r="L54" s="23" t="str">
        <f t="shared" si="14"/>
        <v/>
      </c>
      <c r="M54" s="23" t="str">
        <f t="shared" si="14"/>
        <v/>
      </c>
      <c r="N54" s="23" t="str">
        <f t="shared" si="14"/>
        <v/>
      </c>
      <c r="O54" s="23" t="str">
        <f t="shared" si="14"/>
        <v/>
      </c>
      <c r="P54" s="23" t="str">
        <f t="shared" si="14"/>
        <v/>
      </c>
      <c r="Q54" s="23" t="str">
        <f t="shared" si="14"/>
        <v/>
      </c>
      <c r="R54" s="23" t="str">
        <f t="shared" si="14"/>
        <v/>
      </c>
      <c r="S54" s="23" t="str">
        <f t="shared" si="14"/>
        <v/>
      </c>
      <c r="T54" s="23" t="str">
        <f t="shared" si="14"/>
        <v/>
      </c>
    </row>
    <row r="55" spans="2:20">
      <c r="B55" s="20" t="s">
        <v>44</v>
      </c>
      <c r="C55" s="20"/>
      <c r="D55" s="12">
        <v>0.23</v>
      </c>
      <c r="E55" s="40">
        <v>50</v>
      </c>
      <c r="F55" s="23">
        <f t="shared" ref="F52:F57" si="15">IF(F$8=1,E55*12*(1+F$11),"")</f>
        <v>612</v>
      </c>
      <c r="G55" s="23">
        <f t="shared" ref="G55:T55" si="16">IF(G$8=1,F55*(1+G$11),"")</f>
        <v>624.24</v>
      </c>
      <c r="H55" s="23" t="str">
        <f t="shared" si="16"/>
        <v/>
      </c>
      <c r="I55" s="23" t="str">
        <f t="shared" si="16"/>
        <v/>
      </c>
      <c r="J55" s="23" t="str">
        <f t="shared" si="16"/>
        <v/>
      </c>
      <c r="K55" s="23" t="str">
        <f t="shared" si="16"/>
        <v/>
      </c>
      <c r="L55" s="23" t="str">
        <f t="shared" si="16"/>
        <v/>
      </c>
      <c r="M55" s="23" t="str">
        <f t="shared" si="16"/>
        <v/>
      </c>
      <c r="N55" s="23" t="str">
        <f t="shared" si="16"/>
        <v/>
      </c>
      <c r="O55" s="23" t="str">
        <f t="shared" si="16"/>
        <v/>
      </c>
      <c r="P55" s="23" t="str">
        <f t="shared" si="16"/>
        <v/>
      </c>
      <c r="Q55" s="23" t="str">
        <f t="shared" si="16"/>
        <v/>
      </c>
      <c r="R55" s="23" t="str">
        <f t="shared" si="16"/>
        <v/>
      </c>
      <c r="S55" s="23" t="str">
        <f t="shared" si="16"/>
        <v/>
      </c>
      <c r="T55" s="23" t="str">
        <f t="shared" si="16"/>
        <v/>
      </c>
    </row>
    <row r="56" spans="2:20">
      <c r="B56" s="20" t="s">
        <v>43</v>
      </c>
      <c r="C56" s="20"/>
      <c r="D56" s="12">
        <v>0.23</v>
      </c>
      <c r="E56" s="40">
        <v>60</v>
      </c>
      <c r="F56" s="23">
        <f t="shared" si="15"/>
        <v>734.4</v>
      </c>
      <c r="G56" s="23">
        <f t="shared" ref="G56:T56" si="17">IF(G$8=1,F56*(1+G$11),"")</f>
        <v>749.08799999999997</v>
      </c>
      <c r="H56" s="23" t="str">
        <f t="shared" si="17"/>
        <v/>
      </c>
      <c r="I56" s="23" t="str">
        <f t="shared" si="17"/>
        <v/>
      </c>
      <c r="J56" s="23" t="str">
        <f t="shared" si="17"/>
        <v/>
      </c>
      <c r="K56" s="23" t="str">
        <f t="shared" si="17"/>
        <v/>
      </c>
      <c r="L56" s="23" t="str">
        <f t="shared" si="17"/>
        <v/>
      </c>
      <c r="M56" s="23" t="str">
        <f t="shared" si="17"/>
        <v/>
      </c>
      <c r="N56" s="23" t="str">
        <f t="shared" si="17"/>
        <v/>
      </c>
      <c r="O56" s="23" t="str">
        <f t="shared" si="17"/>
        <v/>
      </c>
      <c r="P56" s="23" t="str">
        <f t="shared" si="17"/>
        <v/>
      </c>
      <c r="Q56" s="23" t="str">
        <f t="shared" si="17"/>
        <v/>
      </c>
      <c r="R56" s="23" t="str">
        <f t="shared" si="17"/>
        <v/>
      </c>
      <c r="S56" s="23" t="str">
        <f t="shared" si="17"/>
        <v/>
      </c>
      <c r="T56" s="23" t="str">
        <f t="shared" si="17"/>
        <v/>
      </c>
    </row>
    <row r="57" spans="2:20">
      <c r="B57" s="20" t="s">
        <v>49</v>
      </c>
      <c r="C57" s="20"/>
      <c r="D57" s="12">
        <v>0.23</v>
      </c>
      <c r="E57" s="40">
        <v>100</v>
      </c>
      <c r="F57" s="23">
        <f t="shared" si="15"/>
        <v>1224</v>
      </c>
      <c r="G57" s="23">
        <f t="shared" ref="G57:T57" si="18">IF(G$8=1,F57*(1+G$11),"")</f>
        <v>1248.48</v>
      </c>
      <c r="H57" s="23" t="str">
        <f t="shared" si="18"/>
        <v/>
      </c>
      <c r="I57" s="23" t="str">
        <f t="shared" si="18"/>
        <v/>
      </c>
      <c r="J57" s="23" t="str">
        <f t="shared" si="18"/>
        <v/>
      </c>
      <c r="K57" s="23" t="str">
        <f t="shared" si="18"/>
        <v/>
      </c>
      <c r="L57" s="23" t="str">
        <f t="shared" si="18"/>
        <v/>
      </c>
      <c r="M57" s="23" t="str">
        <f t="shared" si="18"/>
        <v/>
      </c>
      <c r="N57" s="23" t="str">
        <f t="shared" si="18"/>
        <v/>
      </c>
      <c r="O57" s="23" t="str">
        <f t="shared" si="18"/>
        <v/>
      </c>
      <c r="P57" s="23" t="str">
        <f t="shared" si="18"/>
        <v/>
      </c>
      <c r="Q57" s="23" t="str">
        <f t="shared" si="18"/>
        <v/>
      </c>
      <c r="R57" s="23" t="str">
        <f t="shared" si="18"/>
        <v/>
      </c>
      <c r="S57" s="23" t="str">
        <f t="shared" si="18"/>
        <v/>
      </c>
      <c r="T57" s="23" t="str">
        <f t="shared" si="18"/>
        <v/>
      </c>
    </row>
    <row r="58" spans="2:20">
      <c r="B58" s="19" t="s">
        <v>51</v>
      </c>
      <c r="C58" s="19"/>
      <c r="E58" s="14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</row>
    <row r="59" spans="2:20">
      <c r="B59" s="20" t="s">
        <v>39</v>
      </c>
      <c r="C59" s="20"/>
      <c r="D59" s="12">
        <v>0.23</v>
      </c>
      <c r="E59" s="40">
        <v>20</v>
      </c>
      <c r="F59" s="23">
        <f>IF(F$8=1,E59*12*(1+F$11),"")</f>
        <v>244.8</v>
      </c>
      <c r="G59" s="23">
        <f t="shared" ref="G59:T59" si="19">IF(G$8=1,F59*(1+G$11),"")</f>
        <v>249.69600000000003</v>
      </c>
      <c r="H59" s="23" t="str">
        <f t="shared" si="19"/>
        <v/>
      </c>
      <c r="I59" s="23" t="str">
        <f t="shared" si="19"/>
        <v/>
      </c>
      <c r="J59" s="23" t="str">
        <f t="shared" si="19"/>
        <v/>
      </c>
      <c r="K59" s="23" t="str">
        <f t="shared" si="19"/>
        <v/>
      </c>
      <c r="L59" s="23" t="str">
        <f t="shared" si="19"/>
        <v/>
      </c>
      <c r="M59" s="23" t="str">
        <f t="shared" si="19"/>
        <v/>
      </c>
      <c r="N59" s="23" t="str">
        <f t="shared" si="19"/>
        <v/>
      </c>
      <c r="O59" s="23" t="str">
        <f t="shared" si="19"/>
        <v/>
      </c>
      <c r="P59" s="23" t="str">
        <f t="shared" si="19"/>
        <v/>
      </c>
      <c r="Q59" s="23" t="str">
        <f t="shared" si="19"/>
        <v/>
      </c>
      <c r="R59" s="23" t="str">
        <f t="shared" si="19"/>
        <v/>
      </c>
      <c r="S59" s="23" t="str">
        <f t="shared" si="19"/>
        <v/>
      </c>
      <c r="T59" s="23" t="str">
        <f t="shared" si="19"/>
        <v/>
      </c>
    </row>
    <row r="60" spans="2:20">
      <c r="B60" s="20" t="s">
        <v>52</v>
      </c>
      <c r="C60" s="20"/>
      <c r="D60" s="12">
        <v>0.23</v>
      </c>
      <c r="E60" s="40">
        <v>32</v>
      </c>
      <c r="F60" s="23">
        <f>IF(F$8=1,E60*12*(1+F$11),"")</f>
        <v>391.68</v>
      </c>
      <c r="G60" s="23">
        <f t="shared" ref="G60:T60" si="20">IF(G$8=1,F60*(1+G$11),"")</f>
        <v>399.5136</v>
      </c>
      <c r="H60" s="23" t="str">
        <f t="shared" si="20"/>
        <v/>
      </c>
      <c r="I60" s="23" t="str">
        <f t="shared" si="20"/>
        <v/>
      </c>
      <c r="J60" s="23" t="str">
        <f t="shared" si="20"/>
        <v/>
      </c>
      <c r="K60" s="23" t="str">
        <f t="shared" si="20"/>
        <v/>
      </c>
      <c r="L60" s="23" t="str">
        <f t="shared" si="20"/>
        <v/>
      </c>
      <c r="M60" s="23" t="str">
        <f t="shared" si="20"/>
        <v/>
      </c>
      <c r="N60" s="23" t="str">
        <f t="shared" si="20"/>
        <v/>
      </c>
      <c r="O60" s="23" t="str">
        <f t="shared" si="20"/>
        <v/>
      </c>
      <c r="P60" s="23" t="str">
        <f t="shared" si="20"/>
        <v/>
      </c>
      <c r="Q60" s="23" t="str">
        <f t="shared" si="20"/>
        <v/>
      </c>
      <c r="R60" s="23" t="str">
        <f t="shared" si="20"/>
        <v/>
      </c>
      <c r="S60" s="23" t="str">
        <f t="shared" si="20"/>
        <v/>
      </c>
      <c r="T60" s="23" t="str">
        <f t="shared" si="20"/>
        <v/>
      </c>
    </row>
    <row r="61" spans="2:20">
      <c r="B61" s="20" t="s">
        <v>40</v>
      </c>
      <c r="C61" s="20"/>
      <c r="D61" s="12">
        <v>0.23</v>
      </c>
      <c r="E61" s="40">
        <v>14</v>
      </c>
      <c r="F61" s="23">
        <f>IF(F$8=1,E61*12*(1+F$11),"")</f>
        <v>171.36</v>
      </c>
      <c r="G61" s="23">
        <f t="shared" ref="G61:T61" si="21">IF(G$8=1,F61*(1+G$11),"")</f>
        <v>174.78720000000001</v>
      </c>
      <c r="H61" s="23" t="str">
        <f t="shared" si="21"/>
        <v/>
      </c>
      <c r="I61" s="23" t="str">
        <f t="shared" si="21"/>
        <v/>
      </c>
      <c r="J61" s="23" t="str">
        <f t="shared" si="21"/>
        <v/>
      </c>
      <c r="K61" s="23" t="str">
        <f t="shared" si="21"/>
        <v/>
      </c>
      <c r="L61" s="23" t="str">
        <f t="shared" si="21"/>
        <v/>
      </c>
      <c r="M61" s="23" t="str">
        <f t="shared" si="21"/>
        <v/>
      </c>
      <c r="N61" s="23" t="str">
        <f t="shared" si="21"/>
        <v/>
      </c>
      <c r="O61" s="23" t="str">
        <f t="shared" si="21"/>
        <v/>
      </c>
      <c r="P61" s="23" t="str">
        <f t="shared" si="21"/>
        <v/>
      </c>
      <c r="Q61" s="23" t="str">
        <f t="shared" si="21"/>
        <v/>
      </c>
      <c r="R61" s="23" t="str">
        <f t="shared" si="21"/>
        <v/>
      </c>
      <c r="S61" s="23" t="str">
        <f t="shared" si="21"/>
        <v/>
      </c>
      <c r="T61" s="23" t="str">
        <f t="shared" si="21"/>
        <v/>
      </c>
    </row>
    <row r="62" spans="2:20">
      <c r="B62" s="20" t="s">
        <v>53</v>
      </c>
      <c r="C62" s="20"/>
      <c r="D62" s="12">
        <v>0.23</v>
      </c>
      <c r="E62" s="40">
        <v>25</v>
      </c>
      <c r="F62" s="23">
        <f>IF(F$8=1,E62*12*(1+F$11),"")</f>
        <v>306</v>
      </c>
      <c r="G62" s="23">
        <f t="shared" ref="G62:T62" si="22">IF(G$8=1,F62*(1+G$11),"")</f>
        <v>312.12</v>
      </c>
      <c r="H62" s="23" t="str">
        <f t="shared" si="22"/>
        <v/>
      </c>
      <c r="I62" s="23" t="str">
        <f t="shared" si="22"/>
        <v/>
      </c>
      <c r="J62" s="23" t="str">
        <f t="shared" si="22"/>
        <v/>
      </c>
      <c r="K62" s="23" t="str">
        <f t="shared" si="22"/>
        <v/>
      </c>
      <c r="L62" s="23" t="str">
        <f t="shared" si="22"/>
        <v/>
      </c>
      <c r="M62" s="23" t="str">
        <f t="shared" si="22"/>
        <v/>
      </c>
      <c r="N62" s="23" t="str">
        <f t="shared" si="22"/>
        <v/>
      </c>
      <c r="O62" s="23" t="str">
        <f t="shared" si="22"/>
        <v/>
      </c>
      <c r="P62" s="23" t="str">
        <f t="shared" si="22"/>
        <v/>
      </c>
      <c r="Q62" s="23" t="str">
        <f t="shared" si="22"/>
        <v/>
      </c>
      <c r="R62" s="23" t="str">
        <f t="shared" si="22"/>
        <v/>
      </c>
      <c r="S62" s="23" t="str">
        <f t="shared" si="22"/>
        <v/>
      </c>
      <c r="T62" s="23" t="str">
        <f t="shared" si="22"/>
        <v/>
      </c>
    </row>
    <row r="63" spans="2:20">
      <c r="B63" s="19" t="s">
        <v>54</v>
      </c>
      <c r="C63" s="19"/>
      <c r="E63" s="14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</row>
    <row r="64" spans="2:20">
      <c r="B64" s="20" t="s">
        <v>36</v>
      </c>
      <c r="C64" s="20"/>
      <c r="D64" s="12">
        <v>0.23</v>
      </c>
      <c r="E64" s="40">
        <v>120</v>
      </c>
      <c r="F64" s="23">
        <f>IF(F$8=1,E64*12*(1+F$11),"")</f>
        <v>1468.8</v>
      </c>
      <c r="G64" s="23">
        <f t="shared" ref="G64:T64" si="23">IF(G$8=1,F64*(1+G$11),"")</f>
        <v>1498.1759999999999</v>
      </c>
      <c r="H64" s="23" t="str">
        <f t="shared" si="23"/>
        <v/>
      </c>
      <c r="I64" s="23" t="str">
        <f t="shared" si="23"/>
        <v/>
      </c>
      <c r="J64" s="23" t="str">
        <f t="shared" si="23"/>
        <v/>
      </c>
      <c r="K64" s="23" t="str">
        <f t="shared" si="23"/>
        <v/>
      </c>
      <c r="L64" s="23" t="str">
        <f t="shared" si="23"/>
        <v/>
      </c>
      <c r="M64" s="23" t="str">
        <f t="shared" si="23"/>
        <v/>
      </c>
      <c r="N64" s="23" t="str">
        <f t="shared" si="23"/>
        <v/>
      </c>
      <c r="O64" s="23" t="str">
        <f t="shared" si="23"/>
        <v/>
      </c>
      <c r="P64" s="23" t="str">
        <f t="shared" si="23"/>
        <v/>
      </c>
      <c r="Q64" s="23" t="str">
        <f t="shared" si="23"/>
        <v/>
      </c>
      <c r="R64" s="23" t="str">
        <f t="shared" si="23"/>
        <v/>
      </c>
      <c r="S64" s="23" t="str">
        <f t="shared" si="23"/>
        <v/>
      </c>
      <c r="T64" s="23" t="str">
        <f t="shared" si="23"/>
        <v/>
      </c>
    </row>
    <row r="65" spans="2:20">
      <c r="B65" s="20" t="s">
        <v>37</v>
      </c>
      <c r="C65" s="20"/>
      <c r="D65" s="12">
        <v>0.23</v>
      </c>
      <c r="E65" s="40">
        <v>150</v>
      </c>
      <c r="F65" s="23">
        <f>IF(F$8=1,E65*12*(1+F$11),"")</f>
        <v>1836</v>
      </c>
      <c r="G65" s="23">
        <f t="shared" ref="G65:T65" si="24">IF(G$8=1,F65*(1+G$11),"")</f>
        <v>1872.72</v>
      </c>
      <c r="H65" s="23" t="str">
        <f t="shared" si="24"/>
        <v/>
      </c>
      <c r="I65" s="23" t="str">
        <f t="shared" si="24"/>
        <v/>
      </c>
      <c r="J65" s="23" t="str">
        <f t="shared" si="24"/>
        <v/>
      </c>
      <c r="K65" s="23" t="str">
        <f t="shared" si="24"/>
        <v/>
      </c>
      <c r="L65" s="23" t="str">
        <f t="shared" si="24"/>
        <v/>
      </c>
      <c r="M65" s="23" t="str">
        <f t="shared" si="24"/>
        <v/>
      </c>
      <c r="N65" s="23" t="str">
        <f t="shared" si="24"/>
        <v/>
      </c>
      <c r="O65" s="23" t="str">
        <f t="shared" si="24"/>
        <v/>
      </c>
      <c r="P65" s="23" t="str">
        <f t="shared" si="24"/>
        <v/>
      </c>
      <c r="Q65" s="23" t="str">
        <f t="shared" si="24"/>
        <v/>
      </c>
      <c r="R65" s="23" t="str">
        <f t="shared" si="24"/>
        <v/>
      </c>
      <c r="S65" s="23" t="str">
        <f t="shared" si="24"/>
        <v/>
      </c>
      <c r="T65" s="23" t="str">
        <f t="shared" si="24"/>
        <v/>
      </c>
    </row>
    <row r="66" spans="2:20">
      <c r="B66" s="20" t="s">
        <v>38</v>
      </c>
      <c r="C66" s="20"/>
      <c r="D66" s="12">
        <v>0.06</v>
      </c>
      <c r="E66" s="40">
        <v>20</v>
      </c>
      <c r="F66" s="23">
        <f>IF(F$8=1,E66*12*(1+F$11),"")</f>
        <v>244.8</v>
      </c>
      <c r="G66" s="23">
        <f t="shared" ref="G66:T66" si="25">IF(G$8=1,F66*(1+G$11),"")</f>
        <v>249.69600000000003</v>
      </c>
      <c r="H66" s="23" t="str">
        <f t="shared" si="25"/>
        <v/>
      </c>
      <c r="I66" s="23" t="str">
        <f t="shared" si="25"/>
        <v/>
      </c>
      <c r="J66" s="23" t="str">
        <f t="shared" si="25"/>
        <v/>
      </c>
      <c r="K66" s="23" t="str">
        <f t="shared" si="25"/>
        <v/>
      </c>
      <c r="L66" s="23" t="str">
        <f t="shared" si="25"/>
        <v/>
      </c>
      <c r="M66" s="23" t="str">
        <f t="shared" si="25"/>
        <v/>
      </c>
      <c r="N66" s="23" t="str">
        <f t="shared" si="25"/>
        <v/>
      </c>
      <c r="O66" s="23" t="str">
        <f t="shared" si="25"/>
        <v/>
      </c>
      <c r="P66" s="23" t="str">
        <f t="shared" si="25"/>
        <v/>
      </c>
      <c r="Q66" s="23" t="str">
        <f t="shared" si="25"/>
        <v/>
      </c>
      <c r="R66" s="23" t="str">
        <f t="shared" si="25"/>
        <v/>
      </c>
      <c r="S66" s="23" t="str">
        <f t="shared" si="25"/>
        <v/>
      </c>
      <c r="T66" s="23" t="str">
        <f t="shared" si="25"/>
        <v/>
      </c>
    </row>
    <row r="67" spans="2:20">
      <c r="B67" s="19" t="s">
        <v>55</v>
      </c>
      <c r="C67" s="19"/>
      <c r="E67" s="14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</row>
    <row r="68" spans="2:20">
      <c r="B68" s="20" t="s">
        <v>56</v>
      </c>
      <c r="C68" s="20"/>
      <c r="D68" s="12">
        <v>0.23</v>
      </c>
      <c r="E68" s="40">
        <v>10</v>
      </c>
      <c r="F68" s="23">
        <f>IF(F$8=1,E68*12*(1+F$11),"")</f>
        <v>122.4</v>
      </c>
      <c r="G68" s="23">
        <f t="shared" ref="G68:T68" si="26">IF(G$8=1,F68*(1+G$11),"")</f>
        <v>124.84800000000001</v>
      </c>
      <c r="H68" s="23" t="str">
        <f t="shared" si="26"/>
        <v/>
      </c>
      <c r="I68" s="23" t="str">
        <f t="shared" si="26"/>
        <v/>
      </c>
      <c r="J68" s="23" t="str">
        <f t="shared" si="26"/>
        <v/>
      </c>
      <c r="K68" s="23" t="str">
        <f t="shared" si="26"/>
        <v/>
      </c>
      <c r="L68" s="23" t="str">
        <f t="shared" si="26"/>
        <v/>
      </c>
      <c r="M68" s="23" t="str">
        <f t="shared" si="26"/>
        <v/>
      </c>
      <c r="N68" s="23" t="str">
        <f t="shared" si="26"/>
        <v/>
      </c>
      <c r="O68" s="23" t="str">
        <f t="shared" si="26"/>
        <v/>
      </c>
      <c r="P68" s="23" t="str">
        <f t="shared" si="26"/>
        <v/>
      </c>
      <c r="Q68" s="23" t="str">
        <f t="shared" si="26"/>
        <v/>
      </c>
      <c r="R68" s="23" t="str">
        <f t="shared" si="26"/>
        <v/>
      </c>
      <c r="S68" s="23" t="str">
        <f t="shared" si="26"/>
        <v/>
      </c>
      <c r="T68" s="23" t="str">
        <f t="shared" si="26"/>
        <v/>
      </c>
    </row>
    <row r="69" spans="2:20">
      <c r="B69" s="20" t="s">
        <v>57</v>
      </c>
      <c r="C69" s="20"/>
      <c r="D69" s="12">
        <v>0.23</v>
      </c>
      <c r="E69" s="40">
        <v>50</v>
      </c>
      <c r="F69" s="23">
        <f>IF(F$8=1,E69*12*(1+F$11),"")</f>
        <v>612</v>
      </c>
      <c r="G69" s="23">
        <f t="shared" ref="G69:T69" si="27">IF(G$8=1,F69*(1+G$11),"")</f>
        <v>624.24</v>
      </c>
      <c r="H69" s="23" t="str">
        <f t="shared" si="27"/>
        <v/>
      </c>
      <c r="I69" s="23" t="str">
        <f t="shared" si="27"/>
        <v/>
      </c>
      <c r="J69" s="23" t="str">
        <f t="shared" si="27"/>
        <v/>
      </c>
      <c r="K69" s="23" t="str">
        <f t="shared" si="27"/>
        <v/>
      </c>
      <c r="L69" s="23" t="str">
        <f t="shared" si="27"/>
        <v/>
      </c>
      <c r="M69" s="23" t="str">
        <f t="shared" si="27"/>
        <v/>
      </c>
      <c r="N69" s="23" t="str">
        <f t="shared" si="27"/>
        <v/>
      </c>
      <c r="O69" s="23" t="str">
        <f t="shared" si="27"/>
        <v/>
      </c>
      <c r="P69" s="23" t="str">
        <f t="shared" si="27"/>
        <v/>
      </c>
      <c r="Q69" s="23" t="str">
        <f t="shared" si="27"/>
        <v/>
      </c>
      <c r="R69" s="23" t="str">
        <f t="shared" si="27"/>
        <v/>
      </c>
      <c r="S69" s="23" t="str">
        <f t="shared" si="27"/>
        <v/>
      </c>
      <c r="T69" s="23" t="str">
        <f t="shared" si="27"/>
        <v/>
      </c>
    </row>
    <row r="70" spans="2:20">
      <c r="B70" s="20" t="s">
        <v>58</v>
      </c>
      <c r="C70" s="20"/>
      <c r="D70" s="12">
        <v>0.23</v>
      </c>
      <c r="E70" s="40">
        <v>26</v>
      </c>
      <c r="F70" s="23">
        <f>IF(F$8=1,E70*12*(1+F$11),"")</f>
        <v>318.24</v>
      </c>
      <c r="G70" s="23">
        <f t="shared" ref="G70:T70" si="28">IF(G$8=1,F70*(1+G$11),"")</f>
        <v>324.60480000000001</v>
      </c>
      <c r="H70" s="23" t="str">
        <f t="shared" si="28"/>
        <v/>
      </c>
      <c r="I70" s="23" t="str">
        <f t="shared" si="28"/>
        <v/>
      </c>
      <c r="J70" s="23" t="str">
        <f t="shared" si="28"/>
        <v/>
      </c>
      <c r="K70" s="23" t="str">
        <f t="shared" si="28"/>
        <v/>
      </c>
      <c r="L70" s="23" t="str">
        <f t="shared" si="28"/>
        <v/>
      </c>
      <c r="M70" s="23" t="str">
        <f t="shared" si="28"/>
        <v/>
      </c>
      <c r="N70" s="23" t="str">
        <f t="shared" si="28"/>
        <v/>
      </c>
      <c r="O70" s="23" t="str">
        <f t="shared" si="28"/>
        <v/>
      </c>
      <c r="P70" s="23" t="str">
        <f t="shared" si="28"/>
        <v/>
      </c>
      <c r="Q70" s="23" t="str">
        <f t="shared" si="28"/>
        <v/>
      </c>
      <c r="R70" s="23" t="str">
        <f t="shared" si="28"/>
        <v/>
      </c>
      <c r="S70" s="23" t="str">
        <f t="shared" si="28"/>
        <v/>
      </c>
      <c r="T70" s="23" t="str">
        <f t="shared" si="28"/>
        <v/>
      </c>
    </row>
    <row r="71" spans="2:20">
      <c r="B71" s="19" t="s">
        <v>59</v>
      </c>
      <c r="C71" s="19"/>
      <c r="E71" s="14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</row>
    <row r="72" spans="2:20">
      <c r="B72" s="20" t="s">
        <v>60</v>
      </c>
      <c r="C72" s="20"/>
      <c r="D72" s="12">
        <v>0</v>
      </c>
      <c r="E72" s="40">
        <v>200</v>
      </c>
      <c r="F72" s="23">
        <f t="shared" ref="F72:F78" si="29">IF(F$8=1,E72*12*(1+F$11),"")</f>
        <v>2448</v>
      </c>
      <c r="G72" s="23">
        <f t="shared" ref="G72:T72" si="30">IF(G$8=1,F72*(1+G$11),"")</f>
        <v>2496.96</v>
      </c>
      <c r="H72" s="23" t="str">
        <f t="shared" si="30"/>
        <v/>
      </c>
      <c r="I72" s="23" t="str">
        <f t="shared" si="30"/>
        <v/>
      </c>
      <c r="J72" s="23" t="str">
        <f t="shared" si="30"/>
        <v/>
      </c>
      <c r="K72" s="23" t="str">
        <f t="shared" si="30"/>
        <v/>
      </c>
      <c r="L72" s="23" t="str">
        <f t="shared" si="30"/>
        <v/>
      </c>
      <c r="M72" s="23" t="str">
        <f t="shared" si="30"/>
        <v/>
      </c>
      <c r="N72" s="23" t="str">
        <f t="shared" si="30"/>
        <v/>
      </c>
      <c r="O72" s="23" t="str">
        <f t="shared" si="30"/>
        <v/>
      </c>
      <c r="P72" s="23" t="str">
        <f t="shared" si="30"/>
        <v/>
      </c>
      <c r="Q72" s="23" t="str">
        <f t="shared" si="30"/>
        <v/>
      </c>
      <c r="R72" s="23" t="str">
        <f t="shared" si="30"/>
        <v/>
      </c>
      <c r="S72" s="23" t="str">
        <f t="shared" si="30"/>
        <v/>
      </c>
      <c r="T72" s="23" t="str">
        <f t="shared" si="30"/>
        <v/>
      </c>
    </row>
    <row r="73" spans="2:20">
      <c r="B73" s="20" t="s">
        <v>41</v>
      </c>
      <c r="C73" s="20"/>
      <c r="D73" s="12">
        <v>0.23</v>
      </c>
      <c r="E73" s="40">
        <v>50</v>
      </c>
      <c r="F73" s="23">
        <f t="shared" si="29"/>
        <v>612</v>
      </c>
      <c r="G73" s="23">
        <f t="shared" ref="G73:T73" si="31">IF(G$8=1,F73*(1+G$11),"")</f>
        <v>624.24</v>
      </c>
      <c r="H73" s="23" t="str">
        <f t="shared" si="31"/>
        <v/>
      </c>
      <c r="I73" s="23" t="str">
        <f t="shared" si="31"/>
        <v/>
      </c>
      <c r="J73" s="23" t="str">
        <f t="shared" si="31"/>
        <v/>
      </c>
      <c r="K73" s="23" t="str">
        <f t="shared" si="31"/>
        <v/>
      </c>
      <c r="L73" s="23" t="str">
        <f t="shared" si="31"/>
        <v/>
      </c>
      <c r="M73" s="23" t="str">
        <f t="shared" si="31"/>
        <v/>
      </c>
      <c r="N73" s="23" t="str">
        <f t="shared" si="31"/>
        <v/>
      </c>
      <c r="O73" s="23" t="str">
        <f t="shared" si="31"/>
        <v/>
      </c>
      <c r="P73" s="23" t="str">
        <f t="shared" si="31"/>
        <v/>
      </c>
      <c r="Q73" s="23" t="str">
        <f t="shared" si="31"/>
        <v/>
      </c>
      <c r="R73" s="23" t="str">
        <f t="shared" si="31"/>
        <v/>
      </c>
      <c r="S73" s="23" t="str">
        <f t="shared" si="31"/>
        <v/>
      </c>
      <c r="T73" s="23" t="str">
        <f t="shared" si="31"/>
        <v/>
      </c>
    </row>
    <row r="74" spans="2:20">
      <c r="B74" s="20" t="s">
        <v>42</v>
      </c>
      <c r="C74" s="20"/>
      <c r="D74" s="12">
        <v>0</v>
      </c>
      <c r="E74" s="40">
        <v>36</v>
      </c>
      <c r="F74" s="23">
        <f t="shared" si="29"/>
        <v>440.64</v>
      </c>
      <c r="G74" s="23">
        <f t="shared" ref="G74:T74" si="32">IF(G$8=1,F74*(1+G$11),"")</f>
        <v>449.45279999999997</v>
      </c>
      <c r="H74" s="23" t="str">
        <f t="shared" si="32"/>
        <v/>
      </c>
      <c r="I74" s="23" t="str">
        <f t="shared" si="32"/>
        <v/>
      </c>
      <c r="J74" s="23" t="str">
        <f t="shared" si="32"/>
        <v/>
      </c>
      <c r="K74" s="23" t="str">
        <f t="shared" si="32"/>
        <v/>
      </c>
      <c r="L74" s="23" t="str">
        <f t="shared" si="32"/>
        <v/>
      </c>
      <c r="M74" s="23" t="str">
        <f t="shared" si="32"/>
        <v/>
      </c>
      <c r="N74" s="23" t="str">
        <f t="shared" si="32"/>
        <v/>
      </c>
      <c r="O74" s="23" t="str">
        <f t="shared" si="32"/>
        <v/>
      </c>
      <c r="P74" s="23" t="str">
        <f t="shared" si="32"/>
        <v/>
      </c>
      <c r="Q74" s="23" t="str">
        <f t="shared" si="32"/>
        <v/>
      </c>
      <c r="R74" s="23" t="str">
        <f t="shared" si="32"/>
        <v/>
      </c>
      <c r="S74" s="23" t="str">
        <f t="shared" si="32"/>
        <v/>
      </c>
      <c r="T74" s="23" t="str">
        <f t="shared" si="32"/>
        <v/>
      </c>
    </row>
    <row r="75" spans="2:20">
      <c r="B75" s="20" t="s">
        <v>61</v>
      </c>
      <c r="C75" s="20"/>
      <c r="D75" s="12">
        <v>0.23</v>
      </c>
      <c r="E75" s="40">
        <v>256</v>
      </c>
      <c r="F75" s="23">
        <f t="shared" si="29"/>
        <v>3133.44</v>
      </c>
      <c r="G75" s="23">
        <f t="shared" ref="G75:T75" si="33">IF(G$8=1,F75*(1+G$11),"")</f>
        <v>3196.1088</v>
      </c>
      <c r="H75" s="23" t="str">
        <f t="shared" si="33"/>
        <v/>
      </c>
      <c r="I75" s="23" t="str">
        <f t="shared" si="33"/>
        <v/>
      </c>
      <c r="J75" s="23" t="str">
        <f t="shared" si="33"/>
        <v/>
      </c>
      <c r="K75" s="23" t="str">
        <f t="shared" si="33"/>
        <v/>
      </c>
      <c r="L75" s="23" t="str">
        <f t="shared" si="33"/>
        <v/>
      </c>
      <c r="M75" s="23" t="str">
        <f t="shared" si="33"/>
        <v/>
      </c>
      <c r="N75" s="23" t="str">
        <f t="shared" si="33"/>
        <v/>
      </c>
      <c r="O75" s="23" t="str">
        <f t="shared" si="33"/>
        <v/>
      </c>
      <c r="P75" s="23" t="str">
        <f t="shared" si="33"/>
        <v/>
      </c>
      <c r="Q75" s="23" t="str">
        <f t="shared" si="33"/>
        <v/>
      </c>
      <c r="R75" s="23" t="str">
        <f t="shared" si="33"/>
        <v/>
      </c>
      <c r="S75" s="23" t="str">
        <f t="shared" si="33"/>
        <v/>
      </c>
      <c r="T75" s="23" t="str">
        <f t="shared" si="33"/>
        <v/>
      </c>
    </row>
    <row r="76" spans="2:20">
      <c r="B76" s="20" t="s">
        <v>62</v>
      </c>
      <c r="C76" s="20"/>
      <c r="D76" s="12">
        <v>0.23</v>
      </c>
      <c r="E76" s="40">
        <v>50</v>
      </c>
      <c r="F76" s="23">
        <f t="shared" si="29"/>
        <v>612</v>
      </c>
      <c r="G76" s="23">
        <f t="shared" ref="G76:T76" si="34">IF(G$8=1,F76*(1+G$11),"")</f>
        <v>624.24</v>
      </c>
      <c r="H76" s="23" t="str">
        <f t="shared" si="34"/>
        <v/>
      </c>
      <c r="I76" s="23" t="str">
        <f t="shared" si="34"/>
        <v/>
      </c>
      <c r="J76" s="23" t="str">
        <f t="shared" si="34"/>
        <v/>
      </c>
      <c r="K76" s="23" t="str">
        <f t="shared" si="34"/>
        <v/>
      </c>
      <c r="L76" s="23" t="str">
        <f t="shared" si="34"/>
        <v/>
      </c>
      <c r="M76" s="23" t="str">
        <f t="shared" si="34"/>
        <v/>
      </c>
      <c r="N76" s="23" t="str">
        <f t="shared" si="34"/>
        <v/>
      </c>
      <c r="O76" s="23" t="str">
        <f t="shared" si="34"/>
        <v/>
      </c>
      <c r="P76" s="23" t="str">
        <f t="shared" si="34"/>
        <v/>
      </c>
      <c r="Q76" s="23" t="str">
        <f t="shared" si="34"/>
        <v/>
      </c>
      <c r="R76" s="23" t="str">
        <f t="shared" si="34"/>
        <v/>
      </c>
      <c r="S76" s="23" t="str">
        <f t="shared" si="34"/>
        <v/>
      </c>
      <c r="T76" s="23" t="str">
        <f t="shared" si="34"/>
        <v/>
      </c>
    </row>
    <row r="77" spans="2:20">
      <c r="B77" s="20" t="s">
        <v>63</v>
      </c>
      <c r="C77" s="20"/>
      <c r="D77" s="12">
        <v>0.23</v>
      </c>
      <c r="E77" s="40">
        <v>25</v>
      </c>
      <c r="F77" s="23">
        <f t="shared" si="29"/>
        <v>306</v>
      </c>
      <c r="G77" s="23">
        <f t="shared" ref="G77:T77" si="35">IF(G$8=1,F77*(1+G$11),"")</f>
        <v>312.12</v>
      </c>
      <c r="H77" s="23" t="str">
        <f t="shared" si="35"/>
        <v/>
      </c>
      <c r="I77" s="23" t="str">
        <f t="shared" si="35"/>
        <v/>
      </c>
      <c r="J77" s="23" t="str">
        <f t="shared" si="35"/>
        <v/>
      </c>
      <c r="K77" s="23" t="str">
        <f t="shared" si="35"/>
        <v/>
      </c>
      <c r="L77" s="23" t="str">
        <f t="shared" si="35"/>
        <v/>
      </c>
      <c r="M77" s="23" t="str">
        <f t="shared" si="35"/>
        <v/>
      </c>
      <c r="N77" s="23" t="str">
        <f t="shared" si="35"/>
        <v/>
      </c>
      <c r="O77" s="23" t="str">
        <f t="shared" si="35"/>
        <v/>
      </c>
      <c r="P77" s="23" t="str">
        <f t="shared" si="35"/>
        <v/>
      </c>
      <c r="Q77" s="23" t="str">
        <f t="shared" si="35"/>
        <v/>
      </c>
      <c r="R77" s="23" t="str">
        <f t="shared" si="35"/>
        <v/>
      </c>
      <c r="S77" s="23" t="str">
        <f t="shared" si="35"/>
        <v/>
      </c>
      <c r="T77" s="23" t="str">
        <f t="shared" si="35"/>
        <v/>
      </c>
    </row>
    <row r="78" spans="2:20">
      <c r="B78" s="20" t="s">
        <v>64</v>
      </c>
      <c r="C78" s="20"/>
      <c r="D78" s="12">
        <v>0.23</v>
      </c>
      <c r="E78" s="40">
        <v>50</v>
      </c>
      <c r="F78" s="23">
        <f t="shared" si="29"/>
        <v>612</v>
      </c>
      <c r="G78" s="23">
        <f t="shared" ref="G78:T78" si="36">IF(G$8=1,F78*(1+G$11),"")</f>
        <v>624.24</v>
      </c>
      <c r="H78" s="23" t="str">
        <f t="shared" si="36"/>
        <v/>
      </c>
      <c r="I78" s="23" t="str">
        <f t="shared" si="36"/>
        <v/>
      </c>
      <c r="J78" s="23" t="str">
        <f t="shared" si="36"/>
        <v/>
      </c>
      <c r="K78" s="23" t="str">
        <f t="shared" si="36"/>
        <v/>
      </c>
      <c r="L78" s="23" t="str">
        <f t="shared" si="36"/>
        <v/>
      </c>
      <c r="M78" s="23" t="str">
        <f t="shared" si="36"/>
        <v/>
      </c>
      <c r="N78" s="23" t="str">
        <f t="shared" si="36"/>
        <v/>
      </c>
      <c r="O78" s="23" t="str">
        <f t="shared" si="36"/>
        <v/>
      </c>
      <c r="P78" s="23" t="str">
        <f t="shared" si="36"/>
        <v/>
      </c>
      <c r="Q78" s="23" t="str">
        <f t="shared" si="36"/>
        <v/>
      </c>
      <c r="R78" s="23" t="str">
        <f t="shared" si="36"/>
        <v/>
      </c>
      <c r="S78" s="23" t="str">
        <f t="shared" si="36"/>
        <v/>
      </c>
      <c r="T78" s="23" t="str">
        <f t="shared" si="36"/>
        <v/>
      </c>
    </row>
    <row r="79" spans="2:20">
      <c r="B79" s="19" t="s">
        <v>65</v>
      </c>
      <c r="C79" s="19"/>
      <c r="E79" s="14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</row>
    <row r="80" spans="2:20">
      <c r="B80" s="20" t="s">
        <v>65</v>
      </c>
      <c r="C80" s="20"/>
      <c r="D80" s="12">
        <v>0.23</v>
      </c>
      <c r="E80" s="40">
        <v>10</v>
      </c>
      <c r="F80" s="23">
        <f>IF(F$8=1,E80*12*(1+F$11),"")</f>
        <v>122.4</v>
      </c>
      <c r="G80" s="23">
        <f t="shared" ref="G80:T80" si="37">IF(G$8=1,F80*(1+G$11),"")</f>
        <v>124.84800000000001</v>
      </c>
      <c r="H80" s="23" t="str">
        <f t="shared" si="37"/>
        <v/>
      </c>
      <c r="I80" s="23" t="str">
        <f t="shared" si="37"/>
        <v/>
      </c>
      <c r="J80" s="23" t="str">
        <f t="shared" si="37"/>
        <v/>
      </c>
      <c r="K80" s="23" t="str">
        <f t="shared" si="37"/>
        <v/>
      </c>
      <c r="L80" s="23" t="str">
        <f t="shared" si="37"/>
        <v/>
      </c>
      <c r="M80" s="23" t="str">
        <f t="shared" si="37"/>
        <v/>
      </c>
      <c r="N80" s="23" t="str">
        <f t="shared" si="37"/>
        <v/>
      </c>
      <c r="O80" s="23" t="str">
        <f t="shared" si="37"/>
        <v/>
      </c>
      <c r="P80" s="23" t="str">
        <f t="shared" si="37"/>
        <v/>
      </c>
      <c r="Q80" s="23" t="str">
        <f t="shared" si="37"/>
        <v/>
      </c>
      <c r="R80" s="23" t="str">
        <f t="shared" si="37"/>
        <v/>
      </c>
      <c r="S80" s="23" t="str">
        <f t="shared" si="37"/>
        <v/>
      </c>
      <c r="T80" s="23" t="str">
        <f t="shared" si="37"/>
        <v/>
      </c>
    </row>
    <row r="82" spans="1:20">
      <c r="B82" s="16" t="s">
        <v>332</v>
      </c>
      <c r="C82" s="1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4" spans="1:20">
      <c r="B84" s="10" t="s">
        <v>321</v>
      </c>
      <c r="C84" s="10"/>
      <c r="F84" s="19">
        <f>IF(F$8=1,F$4,"")</f>
        <v>2024</v>
      </c>
      <c r="G84" s="19">
        <f t="shared" ref="G84:T84" si="38">IF(G$8=1,F84+1,"")</f>
        <v>2025</v>
      </c>
      <c r="H84" s="19" t="str">
        <f t="shared" si="38"/>
        <v/>
      </c>
      <c r="I84" s="19" t="str">
        <f t="shared" si="38"/>
        <v/>
      </c>
      <c r="J84" s="19" t="str">
        <f t="shared" si="38"/>
        <v/>
      </c>
      <c r="K84" s="19" t="str">
        <f t="shared" si="38"/>
        <v/>
      </c>
      <c r="L84" s="19" t="str">
        <f t="shared" si="38"/>
        <v/>
      </c>
      <c r="M84" s="19" t="str">
        <f t="shared" si="38"/>
        <v/>
      </c>
      <c r="N84" s="19" t="str">
        <f t="shared" si="38"/>
        <v/>
      </c>
      <c r="O84" s="19" t="str">
        <f t="shared" si="38"/>
        <v/>
      </c>
      <c r="P84" s="19" t="str">
        <f t="shared" si="38"/>
        <v/>
      </c>
      <c r="Q84" s="19" t="str">
        <f t="shared" si="38"/>
        <v/>
      </c>
      <c r="R84" s="19" t="str">
        <f t="shared" si="38"/>
        <v/>
      </c>
      <c r="S84" s="19" t="str">
        <f t="shared" si="38"/>
        <v/>
      </c>
      <c r="T84" s="19" t="str">
        <f t="shared" si="38"/>
        <v/>
      </c>
    </row>
    <row r="85" spans="1:20">
      <c r="A85" s="137" t="s">
        <v>97</v>
      </c>
      <c r="B85" s="114" t="s">
        <v>67</v>
      </c>
      <c r="C85" s="113" t="s">
        <v>322</v>
      </c>
      <c r="D85" s="123"/>
      <c r="E85" s="123"/>
      <c r="F85" s="124">
        <v>1</v>
      </c>
      <c r="G85" s="124">
        <v>1</v>
      </c>
      <c r="H85" s="124">
        <v>1</v>
      </c>
      <c r="I85" s="124">
        <v>1</v>
      </c>
      <c r="J85" s="124">
        <v>1</v>
      </c>
      <c r="K85" s="124"/>
      <c r="L85" s="124"/>
      <c r="M85" s="124"/>
      <c r="N85" s="124"/>
      <c r="O85" s="124"/>
      <c r="P85" s="124"/>
      <c r="Q85" s="124"/>
      <c r="R85" s="124"/>
      <c r="S85" s="124"/>
      <c r="T85" s="124"/>
    </row>
    <row r="86" spans="1:20">
      <c r="A86" s="137"/>
      <c r="B86" s="118"/>
      <c r="C86" s="116" t="s">
        <v>323</v>
      </c>
      <c r="D86" s="116"/>
      <c r="E86" s="116"/>
      <c r="F86" s="125">
        <v>1500</v>
      </c>
      <c r="G86" s="117">
        <f t="shared" ref="G86:T86" si="39">IF(G$8=1,F86*(1+F$13),"")</f>
        <v>1530</v>
      </c>
      <c r="H86" s="117" t="str">
        <f t="shared" si="39"/>
        <v/>
      </c>
      <c r="I86" s="117" t="str">
        <f t="shared" si="39"/>
        <v/>
      </c>
      <c r="J86" s="117" t="str">
        <f t="shared" si="39"/>
        <v/>
      </c>
      <c r="K86" s="117" t="str">
        <f t="shared" si="39"/>
        <v/>
      </c>
      <c r="L86" s="117" t="str">
        <f t="shared" si="39"/>
        <v/>
      </c>
      <c r="M86" s="117" t="str">
        <f t="shared" si="39"/>
        <v/>
      </c>
      <c r="N86" s="117" t="str">
        <f t="shared" si="39"/>
        <v/>
      </c>
      <c r="O86" s="117" t="str">
        <f t="shared" si="39"/>
        <v/>
      </c>
      <c r="P86" s="117" t="str">
        <f t="shared" si="39"/>
        <v/>
      </c>
      <c r="Q86" s="117" t="str">
        <f t="shared" si="39"/>
        <v/>
      </c>
      <c r="R86" s="117" t="str">
        <f t="shared" si="39"/>
        <v/>
      </c>
      <c r="S86" s="117" t="str">
        <f t="shared" si="39"/>
        <v/>
      </c>
      <c r="T86" s="117" t="str">
        <f t="shared" si="39"/>
        <v/>
      </c>
    </row>
    <row r="87" spans="1:20">
      <c r="A87" s="137"/>
      <c r="B87" s="114" t="s">
        <v>68</v>
      </c>
      <c r="C87" s="113" t="s">
        <v>322</v>
      </c>
      <c r="D87" s="123"/>
      <c r="E87" s="123"/>
      <c r="F87" s="124">
        <v>1</v>
      </c>
      <c r="G87" s="124">
        <v>1</v>
      </c>
      <c r="H87" s="124">
        <v>1</v>
      </c>
      <c r="I87" s="124">
        <v>1</v>
      </c>
      <c r="J87" s="124">
        <v>1</v>
      </c>
      <c r="K87" s="124"/>
      <c r="L87" s="124"/>
      <c r="M87" s="124"/>
      <c r="N87" s="124"/>
      <c r="O87" s="124"/>
      <c r="P87" s="124"/>
      <c r="Q87" s="124"/>
      <c r="R87" s="124"/>
      <c r="S87" s="124"/>
      <c r="T87" s="124"/>
    </row>
    <row r="88" spans="1:20">
      <c r="A88" s="137"/>
      <c r="B88" s="118"/>
      <c r="C88" s="116" t="s">
        <v>323</v>
      </c>
      <c r="D88" s="126"/>
      <c r="E88" s="126"/>
      <c r="F88" s="125">
        <v>900</v>
      </c>
      <c r="G88" s="117">
        <f t="shared" ref="G88:T88" si="40">IF(G$8=1,F88*(1+F$13),"")</f>
        <v>918</v>
      </c>
      <c r="H88" s="117" t="str">
        <f t="shared" si="40"/>
        <v/>
      </c>
      <c r="I88" s="117" t="str">
        <f t="shared" si="40"/>
        <v/>
      </c>
      <c r="J88" s="117" t="str">
        <f t="shared" si="40"/>
        <v/>
      </c>
      <c r="K88" s="117" t="str">
        <f t="shared" si="40"/>
        <v/>
      </c>
      <c r="L88" s="117" t="str">
        <f t="shared" si="40"/>
        <v/>
      </c>
      <c r="M88" s="117" t="str">
        <f t="shared" si="40"/>
        <v/>
      </c>
      <c r="N88" s="117" t="str">
        <f t="shared" si="40"/>
        <v/>
      </c>
      <c r="O88" s="117" t="str">
        <f t="shared" si="40"/>
        <v/>
      </c>
      <c r="P88" s="117" t="str">
        <f t="shared" si="40"/>
        <v/>
      </c>
      <c r="Q88" s="117" t="str">
        <f t="shared" si="40"/>
        <v/>
      </c>
      <c r="R88" s="117" t="str">
        <f t="shared" si="40"/>
        <v/>
      </c>
      <c r="S88" s="117" t="str">
        <f t="shared" si="40"/>
        <v/>
      </c>
      <c r="T88" s="117" t="str">
        <f t="shared" si="40"/>
        <v/>
      </c>
    </row>
    <row r="89" spans="1:20">
      <c r="A89" s="137"/>
      <c r="B89" s="114" t="s">
        <v>69</v>
      </c>
      <c r="C89" s="113" t="s">
        <v>322</v>
      </c>
      <c r="D89" s="123"/>
      <c r="E89" s="123"/>
      <c r="F89" s="124">
        <v>1</v>
      </c>
      <c r="G89" s="124">
        <f>F89</f>
        <v>1</v>
      </c>
      <c r="H89" s="124">
        <f>G89</f>
        <v>1</v>
      </c>
      <c r="I89" s="124">
        <f>H89</f>
        <v>1</v>
      </c>
      <c r="J89" s="124">
        <f>I89</f>
        <v>1</v>
      </c>
      <c r="K89" s="124"/>
      <c r="L89" s="124"/>
      <c r="M89" s="124"/>
      <c r="N89" s="124"/>
      <c r="O89" s="124"/>
      <c r="P89" s="124"/>
      <c r="Q89" s="124"/>
      <c r="R89" s="124"/>
      <c r="S89" s="124"/>
      <c r="T89" s="124"/>
    </row>
    <row r="90" spans="1:20">
      <c r="A90" s="137"/>
      <c r="B90" s="118"/>
      <c r="C90" s="116" t="s">
        <v>323</v>
      </c>
      <c r="D90" s="126"/>
      <c r="E90" s="126"/>
      <c r="F90" s="125">
        <v>900</v>
      </c>
      <c r="G90" s="117">
        <f t="shared" ref="G90:T90" si="41">IF(G$8=1,F90*(1+F$13),"")</f>
        <v>918</v>
      </c>
      <c r="H90" s="117" t="str">
        <f t="shared" si="41"/>
        <v/>
      </c>
      <c r="I90" s="117" t="str">
        <f t="shared" si="41"/>
        <v/>
      </c>
      <c r="J90" s="117" t="str">
        <f t="shared" si="41"/>
        <v/>
      </c>
      <c r="K90" s="117" t="str">
        <f t="shared" si="41"/>
        <v/>
      </c>
      <c r="L90" s="117" t="str">
        <f t="shared" si="41"/>
        <v/>
      </c>
      <c r="M90" s="117" t="str">
        <f t="shared" si="41"/>
        <v/>
      </c>
      <c r="N90" s="117" t="str">
        <f t="shared" si="41"/>
        <v/>
      </c>
      <c r="O90" s="117" t="str">
        <f t="shared" si="41"/>
        <v/>
      </c>
      <c r="P90" s="117" t="str">
        <f t="shared" si="41"/>
        <v/>
      </c>
      <c r="Q90" s="117" t="str">
        <f t="shared" si="41"/>
        <v/>
      </c>
      <c r="R90" s="117" t="str">
        <f t="shared" si="41"/>
        <v/>
      </c>
      <c r="S90" s="117" t="str">
        <f t="shared" si="41"/>
        <v/>
      </c>
      <c r="T90" s="117" t="str">
        <f t="shared" si="41"/>
        <v/>
      </c>
    </row>
    <row r="92" spans="1:20">
      <c r="B92" s="19" t="s">
        <v>324</v>
      </c>
    </row>
    <row r="93" spans="1:20">
      <c r="B93" s="20" t="str">
        <f>_xlfn.CONCAT("Subsídio de alimentação (valor diário em ",F4,")")</f>
        <v>Subsídio de alimentação (valor diário em 2024)</v>
      </c>
      <c r="D93" s="127">
        <v>8.5</v>
      </c>
    </row>
    <row r="94" spans="1:20">
      <c r="B94" s="20" t="s">
        <v>325</v>
      </c>
      <c r="D94" s="128">
        <v>0.01</v>
      </c>
    </row>
    <row r="95" spans="1:20" ht="18.600000000000001" customHeight="1">
      <c r="B95" s="10" t="s">
        <v>70</v>
      </c>
      <c r="C95" s="10"/>
      <c r="F95" s="19">
        <f>IF(F$8=1,F$4,"")</f>
        <v>2024</v>
      </c>
      <c r="G95" s="19">
        <f t="shared" ref="G95:T95" si="42">IF(G$8=1,F95+1,"")</f>
        <v>2025</v>
      </c>
      <c r="H95" s="19" t="str">
        <f t="shared" si="42"/>
        <v/>
      </c>
      <c r="I95" s="19" t="str">
        <f t="shared" si="42"/>
        <v/>
      </c>
      <c r="J95" s="19" t="str">
        <f t="shared" si="42"/>
        <v/>
      </c>
      <c r="K95" s="19" t="str">
        <f t="shared" si="42"/>
        <v/>
      </c>
      <c r="L95" s="19" t="str">
        <f t="shared" si="42"/>
        <v/>
      </c>
      <c r="M95" s="19" t="str">
        <f t="shared" si="42"/>
        <v/>
      </c>
      <c r="N95" s="19" t="str">
        <f t="shared" si="42"/>
        <v/>
      </c>
      <c r="O95" s="19" t="str">
        <f t="shared" si="42"/>
        <v/>
      </c>
      <c r="P95" s="19" t="str">
        <f t="shared" si="42"/>
        <v/>
      </c>
      <c r="Q95" s="19" t="str">
        <f t="shared" si="42"/>
        <v/>
      </c>
      <c r="R95" s="19" t="str">
        <f t="shared" si="42"/>
        <v/>
      </c>
      <c r="S95" s="19" t="str">
        <f t="shared" si="42"/>
        <v/>
      </c>
      <c r="T95" s="19" t="str">
        <f t="shared" si="42"/>
        <v/>
      </c>
    </row>
    <row r="96" spans="1:20" ht="21.6" customHeight="1">
      <c r="B96" s="20" t="str">
        <f>B85</f>
        <v>Gerência</v>
      </c>
      <c r="C96" s="20"/>
      <c r="F96" s="41">
        <f>IF(F$8=1,F85*F86*14,"")</f>
        <v>21000</v>
      </c>
      <c r="G96" s="41">
        <f t="shared" ref="G96:T96" si="43">IF(G$8=1,G85*G86*14,"")</f>
        <v>21420</v>
      </c>
      <c r="H96" s="41" t="str">
        <f t="shared" si="43"/>
        <v/>
      </c>
      <c r="I96" s="41" t="str">
        <f t="shared" si="43"/>
        <v/>
      </c>
      <c r="J96" s="41" t="str">
        <f t="shared" si="43"/>
        <v/>
      </c>
      <c r="K96" s="41" t="str">
        <f t="shared" si="43"/>
        <v/>
      </c>
      <c r="L96" s="41" t="str">
        <f t="shared" si="43"/>
        <v/>
      </c>
      <c r="M96" s="41" t="str">
        <f t="shared" si="43"/>
        <v/>
      </c>
      <c r="N96" s="41" t="str">
        <f t="shared" si="43"/>
        <v/>
      </c>
      <c r="O96" s="41" t="str">
        <f t="shared" si="43"/>
        <v/>
      </c>
      <c r="P96" s="41" t="str">
        <f t="shared" si="43"/>
        <v/>
      </c>
      <c r="Q96" s="41" t="str">
        <f t="shared" si="43"/>
        <v/>
      </c>
      <c r="R96" s="41" t="str">
        <f t="shared" si="43"/>
        <v/>
      </c>
      <c r="S96" s="41" t="str">
        <f t="shared" si="43"/>
        <v/>
      </c>
      <c r="T96" s="41" t="str">
        <f t="shared" si="43"/>
        <v/>
      </c>
    </row>
    <row r="97" spans="2:20" ht="23.4" customHeight="1">
      <c r="B97" s="20" t="str">
        <f>B87</f>
        <v>Administrativo</v>
      </c>
      <c r="C97" s="20"/>
      <c r="F97" s="41">
        <f>IF(F$8=1,F87*F88*14,"")</f>
        <v>12600</v>
      </c>
      <c r="G97" s="41">
        <f t="shared" ref="G97:T97" si="44">IF(G$8=1,G87*G88*14,"")</f>
        <v>12852</v>
      </c>
      <c r="H97" s="41" t="str">
        <f t="shared" si="44"/>
        <v/>
      </c>
      <c r="I97" s="41" t="str">
        <f t="shared" si="44"/>
        <v/>
      </c>
      <c r="J97" s="41" t="str">
        <f t="shared" si="44"/>
        <v/>
      </c>
      <c r="K97" s="41" t="str">
        <f t="shared" si="44"/>
        <v/>
      </c>
      <c r="L97" s="41" t="str">
        <f t="shared" si="44"/>
        <v/>
      </c>
      <c r="M97" s="41" t="str">
        <f t="shared" si="44"/>
        <v/>
      </c>
      <c r="N97" s="41" t="str">
        <f t="shared" si="44"/>
        <v/>
      </c>
      <c r="O97" s="41" t="str">
        <f t="shared" si="44"/>
        <v/>
      </c>
      <c r="P97" s="41" t="str">
        <f t="shared" si="44"/>
        <v/>
      </c>
      <c r="Q97" s="41" t="str">
        <f t="shared" si="44"/>
        <v/>
      </c>
      <c r="R97" s="41" t="str">
        <f t="shared" si="44"/>
        <v/>
      </c>
      <c r="S97" s="41" t="str">
        <f t="shared" si="44"/>
        <v/>
      </c>
      <c r="T97" s="41" t="str">
        <f t="shared" si="44"/>
        <v/>
      </c>
    </row>
    <row r="98" spans="2:20" ht="20.399999999999999" customHeight="1">
      <c r="B98" s="20" t="str">
        <f>B89</f>
        <v>Comerciais</v>
      </c>
      <c r="C98" s="20"/>
      <c r="F98" s="41">
        <f>IF(F$8=1,F89*F90*14,"")</f>
        <v>12600</v>
      </c>
      <c r="G98" s="41">
        <f t="shared" ref="G98:T98" si="45">IF(G$8=1,G89*G90*14,"")</f>
        <v>12852</v>
      </c>
      <c r="H98" s="41" t="str">
        <f t="shared" si="45"/>
        <v/>
      </c>
      <c r="I98" s="41" t="str">
        <f t="shared" si="45"/>
        <v/>
      </c>
      <c r="J98" s="41" t="str">
        <f t="shared" si="45"/>
        <v/>
      </c>
      <c r="K98" s="41" t="str">
        <f t="shared" si="45"/>
        <v/>
      </c>
      <c r="L98" s="41" t="str">
        <f t="shared" si="45"/>
        <v/>
      </c>
      <c r="M98" s="41" t="str">
        <f t="shared" si="45"/>
        <v/>
      </c>
      <c r="N98" s="41" t="str">
        <f t="shared" si="45"/>
        <v/>
      </c>
      <c r="O98" s="41" t="str">
        <f t="shared" si="45"/>
        <v/>
      </c>
      <c r="P98" s="41" t="str">
        <f t="shared" si="45"/>
        <v/>
      </c>
      <c r="Q98" s="41" t="str">
        <f t="shared" si="45"/>
        <v/>
      </c>
      <c r="R98" s="41" t="str">
        <f t="shared" si="45"/>
        <v/>
      </c>
      <c r="S98" s="41" t="str">
        <f t="shared" si="45"/>
        <v/>
      </c>
      <c r="T98" s="41" t="str">
        <f t="shared" si="45"/>
        <v/>
      </c>
    </row>
    <row r="99" spans="2:20" ht="22.8" customHeight="1">
      <c r="B99" s="20"/>
      <c r="C99" s="20"/>
    </row>
    <row r="100" spans="2:20" ht="25.8" customHeight="1">
      <c r="B100" s="10" t="s">
        <v>72</v>
      </c>
      <c r="C100" s="10"/>
      <c r="F100" s="19">
        <f>IF(F$8=1,F$4,"")</f>
        <v>2024</v>
      </c>
      <c r="G100" s="19">
        <f t="shared" ref="G100:T100" si="46">IF(G$8=1,F100+1,"")</f>
        <v>2025</v>
      </c>
      <c r="H100" s="19" t="str">
        <f t="shared" si="46"/>
        <v/>
      </c>
      <c r="I100" s="19" t="str">
        <f t="shared" si="46"/>
        <v/>
      </c>
      <c r="J100" s="19" t="str">
        <f t="shared" si="46"/>
        <v/>
      </c>
      <c r="K100" s="19" t="str">
        <f t="shared" si="46"/>
        <v/>
      </c>
      <c r="L100" s="19" t="str">
        <f t="shared" si="46"/>
        <v/>
      </c>
      <c r="M100" s="19" t="str">
        <f t="shared" si="46"/>
        <v/>
      </c>
      <c r="N100" s="19" t="str">
        <f t="shared" si="46"/>
        <v/>
      </c>
      <c r="O100" s="19" t="str">
        <f t="shared" si="46"/>
        <v/>
      </c>
      <c r="P100" s="19" t="str">
        <f t="shared" si="46"/>
        <v/>
      </c>
      <c r="Q100" s="19" t="str">
        <f t="shared" si="46"/>
        <v/>
      </c>
      <c r="R100" s="19" t="str">
        <f t="shared" si="46"/>
        <v/>
      </c>
      <c r="S100" s="19" t="str">
        <f t="shared" si="46"/>
        <v/>
      </c>
      <c r="T100" s="19" t="str">
        <f t="shared" si="46"/>
        <v/>
      </c>
    </row>
    <row r="101" spans="2:20" ht="27.6" customHeight="1">
      <c r="B101" s="20" t="s">
        <v>72</v>
      </c>
      <c r="C101" s="20"/>
      <c r="F101" s="41">
        <f t="shared" ref="F101:T101" si="47">IF(F$8=1,(F85+F87+F89)*22*$D93*11*F$14,"")</f>
        <v>6171</v>
      </c>
      <c r="G101" s="41">
        <f t="shared" si="47"/>
        <v>6294.42</v>
      </c>
      <c r="H101" s="41" t="str">
        <f t="shared" si="47"/>
        <v/>
      </c>
      <c r="I101" s="41" t="str">
        <f t="shared" si="47"/>
        <v/>
      </c>
      <c r="J101" s="41" t="str">
        <f t="shared" si="47"/>
        <v/>
      </c>
      <c r="K101" s="41" t="str">
        <f t="shared" si="47"/>
        <v/>
      </c>
      <c r="L101" s="41" t="str">
        <f t="shared" si="47"/>
        <v/>
      </c>
      <c r="M101" s="41" t="str">
        <f t="shared" si="47"/>
        <v/>
      </c>
      <c r="N101" s="41" t="str">
        <f t="shared" si="47"/>
        <v/>
      </c>
      <c r="O101" s="41" t="str">
        <f t="shared" si="47"/>
        <v/>
      </c>
      <c r="P101" s="41" t="str">
        <f t="shared" si="47"/>
        <v/>
      </c>
      <c r="Q101" s="41" t="str">
        <f t="shared" si="47"/>
        <v/>
      </c>
      <c r="R101" s="41" t="str">
        <f t="shared" si="47"/>
        <v/>
      </c>
      <c r="S101" s="41" t="str">
        <f t="shared" si="47"/>
        <v/>
      </c>
      <c r="T101" s="41" t="str">
        <f t="shared" si="47"/>
        <v/>
      </c>
    </row>
    <row r="102" spans="2:20" ht="23.4" customHeight="1">
      <c r="B102" s="20"/>
      <c r="C102" s="20"/>
    </row>
    <row r="103" spans="2:20" ht="15.6" customHeight="1">
      <c r="B103" s="10" t="s">
        <v>73</v>
      </c>
      <c r="C103" s="10"/>
      <c r="F103" s="19">
        <f>IF(F$8=1,F$4,"")</f>
        <v>2024</v>
      </c>
      <c r="G103" s="19">
        <f t="shared" ref="G103:T103" si="48">IF(G$8=1,F103+1,"")</f>
        <v>2025</v>
      </c>
      <c r="H103" s="19" t="str">
        <f t="shared" si="48"/>
        <v/>
      </c>
      <c r="I103" s="19" t="str">
        <f t="shared" si="48"/>
        <v/>
      </c>
      <c r="J103" s="19" t="str">
        <f t="shared" si="48"/>
        <v/>
      </c>
      <c r="K103" s="19" t="str">
        <f t="shared" si="48"/>
        <v/>
      </c>
      <c r="L103" s="19" t="str">
        <f t="shared" si="48"/>
        <v/>
      </c>
      <c r="M103" s="19" t="str">
        <f t="shared" si="48"/>
        <v/>
      </c>
      <c r="N103" s="19" t="str">
        <f t="shared" si="48"/>
        <v/>
      </c>
      <c r="O103" s="19" t="str">
        <f t="shared" si="48"/>
        <v/>
      </c>
      <c r="P103" s="19" t="str">
        <f t="shared" si="48"/>
        <v/>
      </c>
      <c r="Q103" s="19" t="str">
        <f t="shared" si="48"/>
        <v/>
      </c>
      <c r="R103" s="19" t="str">
        <f t="shared" si="48"/>
        <v/>
      </c>
      <c r="S103" s="19" t="str">
        <f t="shared" si="48"/>
        <v/>
      </c>
      <c r="T103" s="19" t="str">
        <f t="shared" si="48"/>
        <v/>
      </c>
    </row>
    <row r="104" spans="2:20" ht="17.399999999999999" customHeight="1">
      <c r="B104" s="20" t="s">
        <v>71</v>
      </c>
      <c r="C104" s="20"/>
      <c r="F104" s="41">
        <f>IF(F$8=1,SUM(F96:F98)*$D94,"")</f>
        <v>462</v>
      </c>
      <c r="G104" s="41">
        <f t="shared" ref="G104:T104" si="49">IF(G$8=1,SUM(G96:G98)*$D94,"")</f>
        <v>471.24</v>
      </c>
      <c r="H104" s="41" t="str">
        <f t="shared" si="49"/>
        <v/>
      </c>
      <c r="I104" s="41" t="str">
        <f t="shared" si="49"/>
        <v/>
      </c>
      <c r="J104" s="41" t="str">
        <f t="shared" si="49"/>
        <v/>
      </c>
      <c r="K104" s="41" t="str">
        <f t="shared" si="49"/>
        <v/>
      </c>
      <c r="L104" s="41" t="str">
        <f t="shared" si="49"/>
        <v/>
      </c>
      <c r="M104" s="41" t="str">
        <f t="shared" si="49"/>
        <v/>
      </c>
      <c r="N104" s="41" t="str">
        <f t="shared" si="49"/>
        <v/>
      </c>
      <c r="O104" s="41" t="str">
        <f t="shared" si="49"/>
        <v/>
      </c>
      <c r="P104" s="41" t="str">
        <f t="shared" si="49"/>
        <v/>
      </c>
      <c r="Q104" s="41" t="str">
        <f t="shared" si="49"/>
        <v/>
      </c>
      <c r="R104" s="41" t="str">
        <f t="shared" si="49"/>
        <v/>
      </c>
      <c r="S104" s="41" t="str">
        <f t="shared" si="49"/>
        <v/>
      </c>
      <c r="T104" s="41" t="str">
        <f t="shared" si="49"/>
        <v/>
      </c>
    </row>
    <row r="106" spans="2:20">
      <c r="B106" s="16" t="s">
        <v>333</v>
      </c>
      <c r="C106" s="1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8" spans="2:20">
      <c r="B108" s="10" t="s">
        <v>82</v>
      </c>
      <c r="C108" s="10"/>
      <c r="D108" s="38" t="s">
        <v>35</v>
      </c>
      <c r="F108" s="19"/>
      <c r="G108" s="19"/>
      <c r="H108" s="19"/>
      <c r="I108" s="19"/>
      <c r="J108" s="19"/>
      <c r="K108" s="19" t="str">
        <f t="shared" ref="K108:T108" si="50">IF(K$8=1,J108+1,"")</f>
        <v/>
      </c>
      <c r="L108" s="19" t="str">
        <f t="shared" si="50"/>
        <v/>
      </c>
      <c r="M108" s="19" t="str">
        <f t="shared" si="50"/>
        <v/>
      </c>
      <c r="N108" s="19" t="str">
        <f t="shared" si="50"/>
        <v/>
      </c>
      <c r="O108" s="19" t="str">
        <f t="shared" si="50"/>
        <v/>
      </c>
      <c r="P108" s="19" t="str">
        <f t="shared" si="50"/>
        <v/>
      </c>
      <c r="Q108" s="19" t="str">
        <f t="shared" si="50"/>
        <v/>
      </c>
      <c r="R108" s="19" t="str">
        <f t="shared" si="50"/>
        <v/>
      </c>
      <c r="S108" s="19" t="str">
        <f t="shared" si="50"/>
        <v/>
      </c>
      <c r="T108" s="19" t="str">
        <f t="shared" si="50"/>
        <v/>
      </c>
    </row>
    <row r="109" spans="2:20">
      <c r="B109" s="20" t="s">
        <v>83</v>
      </c>
      <c r="C109" s="20"/>
      <c r="D109" s="12">
        <v>0.01</v>
      </c>
      <c r="F109" s="41"/>
      <c r="G109" s="41"/>
      <c r="H109" s="41"/>
      <c r="I109" s="41"/>
      <c r="J109" s="41"/>
      <c r="K109" s="41" t="str">
        <f>IF(K$8=1,$D109*DR!H4,"")</f>
        <v/>
      </c>
      <c r="L109" s="41" t="str">
        <f>IF(L$8=1,$D109*DR!I4,"")</f>
        <v/>
      </c>
      <c r="M109" s="41" t="str">
        <f>IF(M$8=1,$D109*DR!J4,"")</f>
        <v/>
      </c>
      <c r="N109" s="41" t="str">
        <f>IF(N$8=1,$D109*DR!K4,"")</f>
        <v/>
      </c>
      <c r="O109" s="41" t="str">
        <f>IF(O$8=1,$D109*DR!L4,"")</f>
        <v/>
      </c>
      <c r="P109" s="41" t="str">
        <f>IF(P$8=1,$D109*DR!M4,"")</f>
        <v/>
      </c>
      <c r="Q109" s="41" t="str">
        <f>IF(Q$8=1,$D109*DR!N4,"")</f>
        <v/>
      </c>
      <c r="R109" s="41" t="str">
        <f>IF(R$8=1,$D109*DR!O4,"")</f>
        <v/>
      </c>
      <c r="S109" s="41" t="str">
        <f>IF(S$8=1,$D109*DR!P4,"")</f>
        <v/>
      </c>
      <c r="T109" s="41" t="str">
        <f>IF(T$8=1,$D109*DR!Q4,"")</f>
        <v/>
      </c>
    </row>
    <row r="111" spans="2:20">
      <c r="B111" s="16" t="s">
        <v>335</v>
      </c>
      <c r="C111" s="1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3" spans="2:20">
      <c r="B113" s="10" t="s">
        <v>15</v>
      </c>
      <c r="C113" s="10"/>
      <c r="D113" s="38" t="s">
        <v>35</v>
      </c>
    </row>
    <row r="114" spans="2:20">
      <c r="B114" s="20" t="s">
        <v>78</v>
      </c>
      <c r="C114" s="20"/>
      <c r="D114" s="12">
        <v>0.21</v>
      </c>
    </row>
    <row r="115" spans="2:20">
      <c r="B115" s="20" t="s">
        <v>81</v>
      </c>
      <c r="C115" s="20"/>
      <c r="D115" s="12">
        <v>1.4999999999999999E-2</v>
      </c>
    </row>
    <row r="116" spans="2:20">
      <c r="B116" s="20" t="s">
        <v>79</v>
      </c>
      <c r="C116" s="20"/>
      <c r="D116" s="12">
        <v>0.05</v>
      </c>
    </row>
    <row r="117" spans="2:20">
      <c r="B117" s="20" t="s">
        <v>80</v>
      </c>
      <c r="C117" s="20"/>
      <c r="D117" s="12">
        <v>0.04</v>
      </c>
    </row>
    <row r="118" spans="2:20">
      <c r="B118" s="20" t="s">
        <v>76</v>
      </c>
      <c r="C118" s="20"/>
      <c r="D118" s="11">
        <v>0.23749999999999999</v>
      </c>
    </row>
    <row r="119" spans="2:20">
      <c r="B119" s="20" t="s">
        <v>77</v>
      </c>
      <c r="C119" s="20"/>
      <c r="D119" s="12">
        <v>0.11</v>
      </c>
    </row>
    <row r="121" spans="2:20">
      <c r="B121" s="16" t="s">
        <v>334</v>
      </c>
      <c r="C121" s="1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3" spans="2:20">
      <c r="B123" s="10" t="s">
        <v>15</v>
      </c>
      <c r="C123" s="10"/>
      <c r="D123" s="38" t="s">
        <v>88</v>
      </c>
    </row>
    <row r="124" spans="2:20">
      <c r="B124" s="20" t="s">
        <v>84</v>
      </c>
      <c r="C124" s="20"/>
      <c r="D124" s="45">
        <v>2</v>
      </c>
    </row>
    <row r="125" spans="2:20">
      <c r="B125" s="20" t="s">
        <v>268</v>
      </c>
      <c r="C125" s="20"/>
      <c r="D125" s="45">
        <v>0.5</v>
      </c>
    </row>
    <row r="126" spans="2:20">
      <c r="B126" s="20" t="s">
        <v>85</v>
      </c>
      <c r="C126" s="20"/>
      <c r="D126" s="45">
        <v>0.5</v>
      </c>
    </row>
    <row r="127" spans="2:20">
      <c r="B127" s="20" t="s">
        <v>86</v>
      </c>
      <c r="C127" s="20"/>
      <c r="D127" s="45">
        <v>0.5</v>
      </c>
    </row>
    <row r="128" spans="2:20">
      <c r="B128" s="20" t="s">
        <v>87</v>
      </c>
      <c r="C128" s="20"/>
      <c r="D128" s="45">
        <v>1</v>
      </c>
    </row>
    <row r="129" spans="1:21">
      <c r="B129" s="20" t="s">
        <v>275</v>
      </c>
      <c r="C129" s="20"/>
      <c r="D129" s="45">
        <v>2</v>
      </c>
    </row>
    <row r="130" spans="1:21">
      <c r="B130" s="20" t="s">
        <v>276</v>
      </c>
      <c r="C130" s="20"/>
      <c r="D130" s="45">
        <v>1</v>
      </c>
    </row>
    <row r="131" spans="1:21">
      <c r="B131" s="20" t="s">
        <v>155</v>
      </c>
      <c r="C131" s="20"/>
      <c r="D131" s="40">
        <v>10000</v>
      </c>
    </row>
    <row r="133" spans="1:21">
      <c r="B133" s="16" t="s">
        <v>336</v>
      </c>
      <c r="C133" s="1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5" spans="1:21">
      <c r="B135" s="10" t="s">
        <v>15</v>
      </c>
      <c r="C135" s="131" t="s">
        <v>89</v>
      </c>
      <c r="D135" s="35" t="s">
        <v>123</v>
      </c>
      <c r="E135" s="19">
        <f>IF(F$8=1,F135-1,"")</f>
        <v>2023</v>
      </c>
      <c r="F135" s="19">
        <f>IF(F$8=1,F$4,"")</f>
        <v>2024</v>
      </c>
      <c r="G135" s="19">
        <f t="shared" ref="G135:T135" si="51">IF(G$8=1,F135+1,"")</f>
        <v>2025</v>
      </c>
      <c r="H135" s="19" t="str">
        <f t="shared" si="51"/>
        <v/>
      </c>
      <c r="I135" s="19" t="str">
        <f t="shared" si="51"/>
        <v/>
      </c>
      <c r="J135" s="19" t="str">
        <f t="shared" si="51"/>
        <v/>
      </c>
      <c r="K135" s="19" t="str">
        <f t="shared" si="51"/>
        <v/>
      </c>
      <c r="L135" s="19" t="str">
        <f t="shared" si="51"/>
        <v/>
      </c>
      <c r="M135" s="19" t="str">
        <f t="shared" si="51"/>
        <v/>
      </c>
      <c r="N135" s="19" t="str">
        <f t="shared" si="51"/>
        <v/>
      </c>
      <c r="O135" s="19" t="str">
        <f t="shared" si="51"/>
        <v/>
      </c>
      <c r="P135" s="19" t="str">
        <f t="shared" si="51"/>
        <v/>
      </c>
      <c r="Q135" s="19" t="str">
        <f t="shared" si="51"/>
        <v/>
      </c>
      <c r="R135" s="19" t="str">
        <f t="shared" si="51"/>
        <v/>
      </c>
      <c r="S135" s="19" t="str">
        <f t="shared" si="51"/>
        <v/>
      </c>
      <c r="T135" s="19" t="str">
        <f t="shared" si="51"/>
        <v/>
      </c>
    </row>
    <row r="136" spans="1:21">
      <c r="B136" s="46" t="s">
        <v>90</v>
      </c>
      <c r="C136" s="132"/>
      <c r="D136" s="39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21">
      <c r="B137" s="21" t="s">
        <v>91</v>
      </c>
      <c r="C137" s="132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</row>
    <row r="138" spans="1:21" ht="13.2" customHeight="1">
      <c r="A138" s="137" t="s">
        <v>99</v>
      </c>
      <c r="B138" s="47" t="s">
        <v>98</v>
      </c>
      <c r="C138" s="139"/>
      <c r="D138" s="39"/>
      <c r="E138" s="22">
        <v>100000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1:21">
      <c r="A139" s="137"/>
      <c r="B139" s="47" t="s">
        <v>100</v>
      </c>
      <c r="C139" s="139"/>
      <c r="D139" s="39"/>
      <c r="E139" s="22"/>
      <c r="F139" s="22">
        <v>20000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1:21">
      <c r="A140" s="137"/>
      <c r="B140" s="47" t="s">
        <v>101</v>
      </c>
      <c r="C140" s="139"/>
      <c r="D140" s="39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1:21">
      <c r="A141" s="137"/>
      <c r="B141" s="47" t="s">
        <v>102</v>
      </c>
      <c r="C141" s="139"/>
      <c r="D141" s="39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1:21">
      <c r="B142" s="21" t="s">
        <v>92</v>
      </c>
      <c r="C142" s="139"/>
      <c r="D142" s="39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21">
      <c r="A143" s="137" t="s">
        <v>99</v>
      </c>
      <c r="B143" s="47" t="s">
        <v>103</v>
      </c>
      <c r="C143" s="140">
        <f>1/D143</f>
        <v>0.05</v>
      </c>
      <c r="D143" s="40">
        <v>20</v>
      </c>
      <c r="E143" s="22">
        <v>120000</v>
      </c>
      <c r="F143" s="22">
        <v>80000</v>
      </c>
      <c r="G143" s="22">
        <v>20000</v>
      </c>
      <c r="H143" s="22">
        <v>10000</v>
      </c>
      <c r="I143" s="22">
        <f>H143-1000</f>
        <v>9000</v>
      </c>
      <c r="J143" s="22">
        <f t="shared" ref="J143:Q143" si="52">I143-1000</f>
        <v>8000</v>
      </c>
      <c r="K143" s="22">
        <f t="shared" si="52"/>
        <v>7000</v>
      </c>
      <c r="L143" s="22">
        <f t="shared" si="52"/>
        <v>6000</v>
      </c>
      <c r="M143" s="22">
        <f t="shared" si="52"/>
        <v>5000</v>
      </c>
      <c r="N143" s="22">
        <f t="shared" si="52"/>
        <v>4000</v>
      </c>
      <c r="O143" s="22">
        <f t="shared" si="52"/>
        <v>3000</v>
      </c>
      <c r="P143" s="22">
        <f t="shared" si="52"/>
        <v>2000</v>
      </c>
      <c r="Q143" s="22">
        <f t="shared" si="52"/>
        <v>1000</v>
      </c>
      <c r="R143" s="22">
        <v>1000</v>
      </c>
      <c r="S143" s="22">
        <v>1000</v>
      </c>
      <c r="T143" s="22">
        <v>1000</v>
      </c>
    </row>
    <row r="144" spans="1:21" ht="13.2" customHeight="1">
      <c r="A144" s="137"/>
      <c r="B144" s="47" t="s">
        <v>104</v>
      </c>
      <c r="C144" s="140">
        <f>1/D144</f>
        <v>0.05</v>
      </c>
      <c r="D144" s="40">
        <v>20</v>
      </c>
      <c r="E144" s="22"/>
      <c r="F144" s="22">
        <v>10000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1:20">
      <c r="A145" s="137"/>
      <c r="B145" s="47" t="s">
        <v>105</v>
      </c>
      <c r="C145" s="140"/>
      <c r="D145" s="40" t="s">
        <v>317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1:20">
      <c r="A146" s="137"/>
      <c r="B146" s="47" t="s">
        <v>106</v>
      </c>
      <c r="C146" s="140"/>
      <c r="D146" s="40" t="s">
        <v>317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1:20">
      <c r="B147" s="21" t="s">
        <v>93</v>
      </c>
      <c r="C147" s="139"/>
      <c r="D147" s="39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20">
      <c r="A148" s="137" t="s">
        <v>99</v>
      </c>
      <c r="B148" s="47" t="s">
        <v>107</v>
      </c>
      <c r="C148" s="140">
        <f>1/D148</f>
        <v>0.125</v>
      </c>
      <c r="D148" s="40">
        <v>8</v>
      </c>
      <c r="E148" s="22">
        <v>150000</v>
      </c>
      <c r="F148" s="143"/>
      <c r="G148" s="143"/>
      <c r="H148" s="143"/>
      <c r="I148" s="143"/>
      <c r="J148" s="143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1:20">
      <c r="A149" s="137"/>
      <c r="B149" s="47" t="s">
        <v>108</v>
      </c>
      <c r="C149" s="140"/>
      <c r="D149" s="40" t="s">
        <v>317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1:20">
      <c r="A150" s="137"/>
      <c r="B150" s="47" t="s">
        <v>109</v>
      </c>
      <c r="C150" s="140"/>
      <c r="D150" s="40" t="s">
        <v>317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1:20">
      <c r="A151" s="137"/>
      <c r="B151" s="47" t="s">
        <v>110</v>
      </c>
      <c r="C151" s="140"/>
      <c r="D151" s="40" t="s">
        <v>317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1:20">
      <c r="B152" s="21" t="s">
        <v>94</v>
      </c>
      <c r="C152" s="139"/>
      <c r="D152" s="39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20">
      <c r="A153" s="137" t="s">
        <v>99</v>
      </c>
      <c r="B153" s="47" t="s">
        <v>111</v>
      </c>
      <c r="C153" s="140">
        <f>1/D153</f>
        <v>0.2</v>
      </c>
      <c r="D153" s="40">
        <v>5</v>
      </c>
      <c r="E153" s="22">
        <v>25000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1:20">
      <c r="A154" s="137"/>
      <c r="B154" s="47" t="s">
        <v>112</v>
      </c>
      <c r="C154" s="140"/>
      <c r="D154" s="40" t="s">
        <v>317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1:20">
      <c r="A155" s="137"/>
      <c r="B155" s="47" t="s">
        <v>113</v>
      </c>
      <c r="C155" s="140"/>
      <c r="D155" s="40" t="s">
        <v>317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1:20">
      <c r="A156" s="137"/>
      <c r="B156" s="47" t="s">
        <v>114</v>
      </c>
      <c r="C156" s="140"/>
      <c r="D156" s="40" t="s">
        <v>317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1:20">
      <c r="B157" s="21" t="s">
        <v>95</v>
      </c>
      <c r="C157" s="139"/>
      <c r="D157" s="39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spans="1:20">
      <c r="A158" s="137" t="s">
        <v>99</v>
      </c>
      <c r="B158" s="47" t="s">
        <v>115</v>
      </c>
      <c r="C158" s="140">
        <f>1/D158</f>
        <v>0.125</v>
      </c>
      <c r="D158" s="40">
        <v>8</v>
      </c>
      <c r="E158" s="22">
        <v>12000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1:20">
      <c r="A159" s="137"/>
      <c r="B159" s="47" t="s">
        <v>116</v>
      </c>
      <c r="C159" s="140"/>
      <c r="D159" s="40" t="s">
        <v>317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1:20">
      <c r="A160" s="137"/>
      <c r="B160" s="47" t="s">
        <v>117</v>
      </c>
      <c r="C160" s="140"/>
      <c r="D160" s="40" t="s">
        <v>317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1:20">
      <c r="A161" s="137"/>
      <c r="B161" s="47" t="s">
        <v>118</v>
      </c>
      <c r="C161" s="140"/>
      <c r="D161" s="40" t="s">
        <v>317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1:20">
      <c r="B162" s="21" t="s">
        <v>96</v>
      </c>
      <c r="C162" s="139"/>
      <c r="D162" s="39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>
      <c r="A163" s="137" t="s">
        <v>99</v>
      </c>
      <c r="B163" s="47" t="s">
        <v>119</v>
      </c>
      <c r="C163" s="140">
        <f>1/D163</f>
        <v>0.25</v>
      </c>
      <c r="D163" s="40">
        <v>4</v>
      </c>
      <c r="E163" s="22">
        <v>5000</v>
      </c>
      <c r="F163" s="22"/>
      <c r="G163" s="22"/>
      <c r="H163" s="22"/>
      <c r="I163" s="22">
        <v>6000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1:20">
      <c r="A164" s="137"/>
      <c r="B164" s="47" t="s">
        <v>120</v>
      </c>
      <c r="C164" s="140"/>
      <c r="D164" s="40" t="s">
        <v>317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1:20">
      <c r="A165" s="137"/>
      <c r="B165" s="47" t="s">
        <v>121</v>
      </c>
      <c r="C165" s="140"/>
      <c r="D165" s="40" t="s">
        <v>317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1:20">
      <c r="A166" s="137"/>
      <c r="B166" s="47" t="s">
        <v>122</v>
      </c>
      <c r="C166" s="140"/>
      <c r="D166" s="40" t="s">
        <v>317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1:20">
      <c r="B167" s="38" t="s">
        <v>124</v>
      </c>
      <c r="C167" s="134"/>
      <c r="E167" s="48">
        <f>IF(F$8=1,SUM(E138:E141)+SUM(E143:E146)+SUM(E148:E151)+SUM(E153:E156)+SUM(E158:E161)+SUM(E163:E166),"")</f>
        <v>412000</v>
      </c>
      <c r="F167" s="48">
        <f t="shared" ref="F167:T167" si="53">IF(F$8=1,SUM(F138:F141)+SUM(F143:F146)+SUM(F148:F151)+SUM(F153:F156)+SUM(F158:F161)+SUM(F163:F166),"")</f>
        <v>110000</v>
      </c>
      <c r="G167" s="48">
        <f t="shared" si="53"/>
        <v>20000</v>
      </c>
      <c r="H167" s="48" t="str">
        <f t="shared" si="53"/>
        <v/>
      </c>
      <c r="I167" s="48" t="str">
        <f t="shared" si="53"/>
        <v/>
      </c>
      <c r="J167" s="48" t="str">
        <f t="shared" si="53"/>
        <v/>
      </c>
      <c r="K167" s="48" t="str">
        <f t="shared" si="53"/>
        <v/>
      </c>
      <c r="L167" s="48" t="str">
        <f t="shared" si="53"/>
        <v/>
      </c>
      <c r="M167" s="48" t="str">
        <f t="shared" si="53"/>
        <v/>
      </c>
      <c r="N167" s="48" t="str">
        <f t="shared" si="53"/>
        <v/>
      </c>
      <c r="O167" s="48" t="str">
        <f t="shared" si="53"/>
        <v/>
      </c>
      <c r="P167" s="48" t="str">
        <f t="shared" si="53"/>
        <v/>
      </c>
      <c r="Q167" s="48" t="str">
        <f t="shared" si="53"/>
        <v/>
      </c>
      <c r="R167" s="48" t="str">
        <f t="shared" si="53"/>
        <v/>
      </c>
      <c r="S167" s="48" t="str">
        <f t="shared" si="53"/>
        <v/>
      </c>
      <c r="T167" s="48" t="str">
        <f t="shared" si="53"/>
        <v/>
      </c>
    </row>
    <row r="168" spans="1:20">
      <c r="B168" s="46" t="s">
        <v>125</v>
      </c>
      <c r="C168" s="132"/>
      <c r="D168" s="39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20">
      <c r="B169" s="21" t="s">
        <v>126</v>
      </c>
      <c r="C169" s="132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</row>
    <row r="170" spans="1:20">
      <c r="A170" s="137" t="s">
        <v>99</v>
      </c>
      <c r="B170" s="47" t="s">
        <v>130</v>
      </c>
      <c r="C170" s="133">
        <f>1/D170</f>
        <v>0.1</v>
      </c>
      <c r="D170" s="40">
        <v>10</v>
      </c>
      <c r="E170" s="22">
        <v>3000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1:20">
      <c r="A171" s="137"/>
      <c r="B171" s="47" t="s">
        <v>131</v>
      </c>
      <c r="C171" s="133"/>
      <c r="D171" s="40" t="s">
        <v>317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1:20">
      <c r="A172" s="137"/>
      <c r="B172" s="47" t="s">
        <v>134</v>
      </c>
      <c r="C172" s="133"/>
      <c r="D172" s="40" t="s">
        <v>317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1:20">
      <c r="A173" s="137"/>
      <c r="B173" s="47" t="s">
        <v>135</v>
      </c>
      <c r="C173" s="133"/>
      <c r="D173" s="40" t="s">
        <v>317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1:20">
      <c r="B174" s="21" t="s">
        <v>127</v>
      </c>
      <c r="C174" s="132"/>
      <c r="D174" s="39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20">
      <c r="A175" s="137" t="s">
        <v>99</v>
      </c>
      <c r="B175" s="47" t="s">
        <v>132</v>
      </c>
      <c r="C175" s="133">
        <f>1/D175</f>
        <v>0.1</v>
      </c>
      <c r="D175" s="40">
        <v>10</v>
      </c>
      <c r="E175" s="22">
        <v>4000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1:20">
      <c r="A176" s="137"/>
      <c r="B176" s="47" t="s">
        <v>133</v>
      </c>
      <c r="C176" s="133"/>
      <c r="D176" s="40" t="s">
        <v>317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1:20">
      <c r="A177" s="137"/>
      <c r="B177" s="47" t="s">
        <v>136</v>
      </c>
      <c r="C177" s="133"/>
      <c r="D177" s="40" t="s">
        <v>317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1:20">
      <c r="A178" s="137"/>
      <c r="B178" s="47" t="s">
        <v>137</v>
      </c>
      <c r="C178" s="133"/>
      <c r="D178" s="40" t="s">
        <v>317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1:20">
      <c r="B179" s="21" t="s">
        <v>128</v>
      </c>
      <c r="C179" s="132"/>
      <c r="D179" s="39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20">
      <c r="A180" s="137" t="s">
        <v>99</v>
      </c>
      <c r="B180" s="47" t="s">
        <v>138</v>
      </c>
      <c r="C180" s="133">
        <f>1/D180</f>
        <v>0.125</v>
      </c>
      <c r="D180" s="40">
        <v>8</v>
      </c>
      <c r="E180" s="22">
        <v>2000</v>
      </c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1:20">
      <c r="A181" s="137"/>
      <c r="B181" s="47" t="s">
        <v>139</v>
      </c>
      <c r="C181" s="133"/>
      <c r="D181" s="40" t="s">
        <v>317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1:20">
      <c r="A182" s="137"/>
      <c r="B182" s="47" t="s">
        <v>140</v>
      </c>
      <c r="C182" s="133"/>
      <c r="D182" s="40" t="s">
        <v>317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1:20">
      <c r="A183" s="137"/>
      <c r="B183" s="47" t="s">
        <v>141</v>
      </c>
      <c r="C183" s="133"/>
      <c r="D183" s="40" t="s">
        <v>317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1:20">
      <c r="B184" s="21" t="s">
        <v>129</v>
      </c>
      <c r="C184" s="132"/>
      <c r="D184" s="39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20">
      <c r="A185" s="137" t="s">
        <v>99</v>
      </c>
      <c r="B185" s="47" t="s">
        <v>142</v>
      </c>
      <c r="C185" s="133">
        <f>1/D185</f>
        <v>0.33333333333333331</v>
      </c>
      <c r="D185" s="40">
        <v>3</v>
      </c>
      <c r="E185" s="22">
        <v>3000</v>
      </c>
      <c r="F185" s="22"/>
      <c r="G185" s="22"/>
      <c r="H185" s="22">
        <v>4000</v>
      </c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1:20">
      <c r="A186" s="137"/>
      <c r="B186" s="47" t="s">
        <v>143</v>
      </c>
      <c r="C186" s="133">
        <f>1/D186</f>
        <v>0.33333333333333331</v>
      </c>
      <c r="D186" s="40">
        <v>3</v>
      </c>
      <c r="E186" s="22"/>
      <c r="F186" s="22"/>
      <c r="G186" s="22">
        <v>2000</v>
      </c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1:20">
      <c r="A187" s="137"/>
      <c r="B187" s="47" t="s">
        <v>144</v>
      </c>
      <c r="C187" s="51"/>
      <c r="D187" s="40" t="s">
        <v>317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1:20">
      <c r="A188" s="137"/>
      <c r="B188" s="47" t="s">
        <v>145</v>
      </c>
      <c r="C188" s="51"/>
      <c r="D188" s="40" t="s">
        <v>317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1:20">
      <c r="B189" s="38" t="s">
        <v>124</v>
      </c>
      <c r="E189" s="48">
        <f>IF(F$8=1,SUM(E170:E173)+SUM(E175:E178)+SUM(E180:E183)+SUM(E185:E188),"")</f>
        <v>12000</v>
      </c>
      <c r="F189" s="48">
        <f t="shared" ref="F189:T189" si="54">IF(F$8=1,SUM(F170:F173)+SUM(F175:F178)+SUM(F180:F183)+SUM(F185:F188),"")</f>
        <v>0</v>
      </c>
      <c r="G189" s="48">
        <f t="shared" si="54"/>
        <v>2000</v>
      </c>
      <c r="H189" s="48" t="str">
        <f t="shared" si="54"/>
        <v/>
      </c>
      <c r="I189" s="48" t="str">
        <f t="shared" si="54"/>
        <v/>
      </c>
      <c r="J189" s="48" t="str">
        <f t="shared" si="54"/>
        <v/>
      </c>
      <c r="K189" s="48" t="str">
        <f t="shared" si="54"/>
        <v/>
      </c>
      <c r="L189" s="48" t="str">
        <f t="shared" si="54"/>
        <v/>
      </c>
      <c r="M189" s="48" t="str">
        <f t="shared" si="54"/>
        <v/>
      </c>
      <c r="N189" s="48" t="str">
        <f t="shared" si="54"/>
        <v/>
      </c>
      <c r="O189" s="48" t="str">
        <f t="shared" si="54"/>
        <v/>
      </c>
      <c r="P189" s="48" t="str">
        <f t="shared" si="54"/>
        <v/>
      </c>
      <c r="Q189" s="48" t="str">
        <f t="shared" si="54"/>
        <v/>
      </c>
      <c r="R189" s="48" t="str">
        <f t="shared" si="54"/>
        <v/>
      </c>
      <c r="S189" s="48" t="str">
        <f t="shared" si="54"/>
        <v/>
      </c>
      <c r="T189" s="48" t="str">
        <f t="shared" si="54"/>
        <v/>
      </c>
    </row>
    <row r="190" spans="1:20">
      <c r="B190" s="9" t="s">
        <v>155</v>
      </c>
      <c r="C190" s="51"/>
      <c r="E190" s="49">
        <f>+D131</f>
        <v>10000</v>
      </c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</row>
    <row r="191" spans="1:20">
      <c r="B191" s="38" t="s">
        <v>146</v>
      </c>
      <c r="E191" s="48">
        <f>IF(F$8=1,E167+E189+E190,"")</f>
        <v>434000</v>
      </c>
      <c r="F191" s="48">
        <f>IF(F$8=1,F167+F189+F190,"")</f>
        <v>110000</v>
      </c>
      <c r="G191" s="48">
        <f t="shared" ref="F191:T191" si="55">IF(G$8=1,G167+G189+G190,"")</f>
        <v>22000</v>
      </c>
      <c r="H191" s="48" t="str">
        <f t="shared" si="55"/>
        <v/>
      </c>
      <c r="I191" s="48" t="str">
        <f t="shared" si="55"/>
        <v/>
      </c>
      <c r="J191" s="48" t="str">
        <f t="shared" si="55"/>
        <v/>
      </c>
      <c r="K191" s="48" t="str">
        <f t="shared" si="55"/>
        <v/>
      </c>
      <c r="L191" s="48" t="str">
        <f t="shared" si="55"/>
        <v/>
      </c>
      <c r="M191" s="48" t="str">
        <f t="shared" si="55"/>
        <v/>
      </c>
      <c r="N191" s="48" t="str">
        <f t="shared" si="55"/>
        <v/>
      </c>
      <c r="O191" s="48" t="str">
        <f t="shared" si="55"/>
        <v/>
      </c>
      <c r="P191" s="48" t="str">
        <f t="shared" si="55"/>
        <v/>
      </c>
      <c r="Q191" s="48" t="str">
        <f t="shared" si="55"/>
        <v/>
      </c>
      <c r="R191" s="48" t="str">
        <f t="shared" si="55"/>
        <v/>
      </c>
      <c r="S191" s="48" t="str">
        <f t="shared" si="55"/>
        <v/>
      </c>
      <c r="T191" s="48" t="str">
        <f t="shared" si="55"/>
        <v/>
      </c>
    </row>
    <row r="194" spans="2:21">
      <c r="B194" s="16" t="s">
        <v>150</v>
      </c>
      <c r="C194" s="1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2:21">
      <c r="B195" s="10" t="s">
        <v>15</v>
      </c>
      <c r="C195" s="35" t="s">
        <v>89</v>
      </c>
      <c r="D195" s="35" t="s">
        <v>123</v>
      </c>
      <c r="E195" s="19">
        <f>IF(F$8=1,F$4,"")</f>
        <v>2024</v>
      </c>
      <c r="F195" s="19">
        <f t="shared" ref="F195:S195" si="56">IF(G$8=1,E195+1,"")</f>
        <v>2025</v>
      </c>
      <c r="G195" s="19" t="str">
        <f t="shared" si="56"/>
        <v/>
      </c>
      <c r="H195" s="19" t="str">
        <f t="shared" si="56"/>
        <v/>
      </c>
      <c r="I195" s="19" t="str">
        <f t="shared" si="56"/>
        <v/>
      </c>
      <c r="J195" s="19" t="str">
        <f t="shared" si="56"/>
        <v/>
      </c>
      <c r="K195" s="19" t="str">
        <f t="shared" si="56"/>
        <v/>
      </c>
      <c r="L195" s="19" t="str">
        <f t="shared" si="56"/>
        <v/>
      </c>
      <c r="M195" s="19" t="str">
        <f t="shared" si="56"/>
        <v/>
      </c>
      <c r="N195" s="19" t="str">
        <f t="shared" si="56"/>
        <v/>
      </c>
      <c r="O195" s="19" t="str">
        <f t="shared" si="56"/>
        <v/>
      </c>
      <c r="P195" s="19" t="str">
        <f t="shared" si="56"/>
        <v/>
      </c>
      <c r="Q195" s="19" t="str">
        <f t="shared" si="56"/>
        <v/>
      </c>
      <c r="R195" s="19" t="str">
        <f t="shared" si="56"/>
        <v/>
      </c>
      <c r="S195" s="19" t="str">
        <f t="shared" si="56"/>
        <v/>
      </c>
    </row>
    <row r="196" spans="2:21">
      <c r="B196" s="46" t="s">
        <v>90</v>
      </c>
      <c r="C196" s="39"/>
      <c r="D196" s="39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spans="2:21">
      <c r="B197" s="21" t="s">
        <v>92</v>
      </c>
      <c r="C197" s="39"/>
      <c r="D197" s="39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spans="2:21">
      <c r="B198" s="50" t="str">
        <f>B143</f>
        <v>Edifícios 1</v>
      </c>
      <c r="C198" s="51">
        <f>IF(C143&gt;0,C143,"")</f>
        <v>0.05</v>
      </c>
      <c r="D198" s="39"/>
      <c r="E198" s="14">
        <f>IF(F$8=1,IF($C143&gt;0,IF(F$10-$E$10&lt;=$D143,$E143,0),0),"")</f>
        <v>120000</v>
      </c>
      <c r="F198" s="14">
        <f>IF(G$8=1,IF($C143&gt;0,IF(G$10-$E$10&lt;=$D143,$E143,0)+IF(G$10-$F$10&lt;=$D143,$F143,0),0),"")</f>
        <v>200000</v>
      </c>
      <c r="G198" s="14" t="str">
        <f>IF(H$8=1,IF($C143&gt;0,IF(H$10-$E$10&lt;=$D143,$E143,0)+IF(H$10-$F$10&lt;=$D143,$F143,0)+IF(H$10-$G$10&lt;=$D143,$G143,0),0),"")</f>
        <v/>
      </c>
      <c r="H198" s="14" t="str">
        <f>IF(I$8=1,IF($C143&gt;0,IF(I$10-$E$10&lt;=$D143,$E143,0)+IF(I$10-$F$10&lt;=$D143,$F143,0)+IF(I$10-$G$10&lt;=$D143,$G143,0)+IF(I$10-$H$10&lt;=$D143,$H143,0),0),"")</f>
        <v/>
      </c>
      <c r="I198" s="14" t="str">
        <f>IF(J$8=1,IF($C143&gt;0,IF(J$10-$E$10&lt;=$D143,$E143,0)+IF(J$10-$F$10&lt;=$D143,$F143,0)+IF(J$10-$G$10&lt;=$D143,$G143,0)+IF(J$10-$H$10&lt;=$D143,$H143,0)+IF(J$10-$I$10&lt;=$D143,$I143,0),0),"")</f>
        <v/>
      </c>
      <c r="J198" s="14"/>
      <c r="K198" s="14" t="str">
        <f>IF(L$8=1,IF($C143&gt;0,IF(L$10-$E$10&lt;=$D143,$E143,0)+IF(L$10-$F$10&lt;=$D143,$F143,0)+IF(L$10-$G$10&lt;=$D143,$G143,0)+IF(L$10-$H$10&lt;=$D143,$H143,0)+IF(L$10-$I$10&lt;=$D143,$I143,0)+IF(L$10-$J$10&lt;=$D143,$J143,0)+IF(L$10-$K$10&lt;=$D143,$K143,0),0),"")</f>
        <v/>
      </c>
      <c r="L198" s="14" t="str">
        <f>IF(M$8=1,IF($C143&gt;0,IF(M$10-$E$10&lt;=$D143,$E143,0)+IF(M$10-$F$10&lt;=$D143,$F143,0)+IF(M$10-$G$10&lt;=$D143,$G143,0)+IF(M$10-$H$10&lt;=$D143,$H143,0)+IF(M$10-$I$10&lt;=$D143,$I143,0)+IF(M$10-$J$10&lt;=$D143,$J143,0)+IF(M$10-$K$10&lt;=$D143,$K143,0)+IF(M$10-$L$10&lt;=$D143,$L143,0),0),"")</f>
        <v/>
      </c>
      <c r="M198" s="14" t="str">
        <f>IF(N$8=1,IF($C143&gt;0,IF(N$10-$E$10&lt;=$D143,$E143,0)+IF(N$10-$F$10&lt;=$D143,$F143,0)+IF(N$10-$G$10&lt;=$D143,$G143,0)+IF(N$10-$H$10&lt;=$D143,$H143,0)+IF(N$10-$I$10&lt;=$D143,$I143,0)+IF(N$10-$J$10&lt;=$D143,$J143,0)+IF(N$10-$K$10&lt;=$D143,$K143,0)+IF(N$10-$L$10&lt;=$D143,$L143,0),0)+IF(N$10-$M$10&lt;=$D143,$M143,0),"")</f>
        <v/>
      </c>
      <c r="N198" s="14" t="str">
        <f>IF(O$8=1,IF($C143&gt;0,IF(O$10-$E$10&lt;=$D143,$E143,0)+IF(O$10-$F$10&lt;=$D143,$F143,0)+IF(O$10-$G$10&lt;=$D143,$G143,0)+IF(O$10-$H$10&lt;=$D143,$H143,0)+IF(O$10-$I$10&lt;=$D143,$I143,0)+IF(O$10-$J$10&lt;=$D143,$J143,0)+IF(O$10-$K$10&lt;=$D143,$K143,0)+IF(O$10-$L$10&lt;=$D143,$L143,0),0)+IF(O$10-$M$10&lt;=$D143,$M143,0)+IF(O$10-$N$10&lt;=$D143,$N143,0),"")</f>
        <v/>
      </c>
      <c r="O198" s="14" t="str">
        <f>IF(P$8=1,IF($C143&gt;0,IF(P$10-$E$10&lt;=$D143,$E143,0)+IF(P$10-$F$10&lt;=$D143,$F143,0)+IF(P$10-$G$10&lt;=$D143,$G143,0)+IF(P$10-$H$10&lt;=$D143,$H143,0)+IF(P$10-$I$10&lt;=$D143,$I143,0)+IF(P$10-$J$10&lt;=$D143,$J143,0)+IF(P$10-$K$10&lt;=$D143,$K143,0)+IF(P$10-$L$10&lt;=$D143,$L143,0),0)+IF(P$10-$M$10&lt;=$D143,$M143,0)+IF(P$10-$N$10&lt;=$D143,$N143,0)+IF(P$10-$O$10&lt;=$D143,$O143,0),"")</f>
        <v/>
      </c>
      <c r="P198" s="14" t="str">
        <f>IF(Q$8=1,IF($C143&gt;0,IF(Q$10-$E$10&lt;=$D143,$E143,0)+IF(Q$10-$F$10&lt;=$D143,$F143,0)+IF(Q$10-$G$10&lt;=$D143,$G143,0)+IF(Q$10-$H$10&lt;=$D143,$H143,0)+IF(Q$10-$I$10&lt;=$D143,$I143,0)+IF(Q$10-$J$10&lt;=$D143,$J143,0)+IF(Q$10-$K$10&lt;=$D143,$K143,0)+IF(Q$10-$L$10&lt;=$D143,$L143,0),0)+IF(Q$10-$M$10&lt;=$D143,$M143,0)+IF(Q$10-$N$10&lt;=$D143,$N143,0)+IF(Q$10-$O$10&lt;=$D143,$O143,0)+IF(Q$10-$P$10&lt;=$D143,$P143,0),"")</f>
        <v/>
      </c>
      <c r="Q198" s="14" t="str">
        <f>IF(R$8=1,IF($C143&gt;0,IF(R$10-$E$10&lt;=$D143,$E143,0)+IF(R$10-$F$10&lt;=$D143,$F143,0)+IF(R$10-$G$10&lt;=$D143,$G143,0)+IF(R$10-$H$10&lt;=$D143,$H143,0)+IF(R$10-$I$10&lt;=$D143,$I143,0)+IF(R$10-$J$10&lt;=$D143,$J143,0)+IF(R$10-$K$10&lt;=$D143,$K143,0)+IF(R$10-$L$10&lt;=$D143,$L143,0),0)+IF(R$10-$M$10&lt;=$D143,$M143,0)+IF(R$10-$N$10&lt;=$D143,$N143,0)+IF(R$10-$O$10&lt;=$D143,$O143,0)+IF(R$10-$P$10&lt;=$D143,$P143,0)+IF(R$10-$Q$10&lt;=$D143,$Q143,0),"")</f>
        <v/>
      </c>
      <c r="R198" s="14" t="str">
        <f>IF(S$8=1,IF($C143&gt;0,IF(S$10-$E$10&lt;=$D143,$E143,0)+IF(S$10-$F$10&lt;=$D143,$F143,0)+IF(S$10-$G$10&lt;=$D143,$G143,0)+IF(S$10-$H$10&lt;=$D143,$H143,0)+IF(S$10-$I$10&lt;=$D143,$I143,0)+IF(S$10-$J$10&lt;=$D143,$J143,0)+IF(S$10-$K$10&lt;=$D143,$K143,0)+IF(S$10-$L$10&lt;=$D143,$L143,0),0)+IF(S$10-$M$10&lt;=$D143,$M143,0)+IF(S$10-$N$10&lt;=$D143,$N143,0)+IF(S$10-$O$10&lt;=$D143,$O143,0)+IF(S$10-$P$10&lt;=$D143,$P143,0)+IF(S$10-$Q$10&lt;=$D143,$Q143,0)+IF(S$10-$R$10&lt;=$D143,$R143,0),"")</f>
        <v/>
      </c>
      <c r="S198" s="14" t="str">
        <f>IF(T$8=1,IF($C143&gt;0,IF(T$10-$E$10&lt;=$D143,$E143,0)+IF(T$10-$F$10&lt;=$D143,$F143,0)+IF(T$10-$G$10&lt;=$D143,$G143,0)+IF(T$10-$H$10&lt;=$D143,$H143,0)+IF(T$10-$I$10&lt;=$D143,$I143,0)+IF(T$10-$J$10&lt;=$D143,$J143,0)+IF(T$10-$K$10&lt;=$D143,$K143,0)+IF(T$10-$L$10&lt;=$D143,$L143,0),0)+IF(T$10-$M$10&lt;=$D143,$M143,0)+IF(T$10-$N$10&lt;=$D143,$N143,0)+IF(T$10-$O$10&lt;=$D143,$O143,0)+IF(T$10-$P$10&lt;=$D143,$P143,0)+IF(T$10-$Q$10&lt;=$D143,$Q143,0)+IF(T$10-$R$10&lt;=$D143,$R143,0)+IF(T$10-$S$10&lt;=$D143,$S143,0),"")</f>
        <v/>
      </c>
    </row>
    <row r="199" spans="2:21">
      <c r="B199" s="50" t="str">
        <f>B144</f>
        <v>Edifícios 2</v>
      </c>
      <c r="C199" s="51">
        <f>IF(C144&gt;0,C144,"")</f>
        <v>0.05</v>
      </c>
      <c r="D199" s="39"/>
      <c r="E199" s="14">
        <f>IF(F$8=1,IF($C144&gt;0,IF(F$10-$E$10&lt;=$D144,$E144,0),0),"")</f>
        <v>0</v>
      </c>
      <c r="F199" s="14">
        <f>IF(G$8=1,IF($C144&gt;0,IF(G$10-$E$10&lt;=$D144,$E144,0)+IF(G$10-$F$10&lt;=$D144,$F144,0),0),"")</f>
        <v>10000</v>
      </c>
      <c r="G199" s="14" t="str">
        <f>IF(H$8=1,IF($C144&gt;0,IF(H$10-$E$10&lt;=$D144,$E144,0)+IF(H$10-$F$10&lt;=$D144,$F144,0)+IF(H$10-$G$10&lt;=$D144,$G144,0),0),"")</f>
        <v/>
      </c>
      <c r="H199" s="14" t="str">
        <f>IF(I$8=1,IF($C144&gt;0,IF(I$10-$E$10&lt;=$D144,$E144,0)+IF(I$10-$F$10&lt;=$D144,$F144,0)+IF(I$10-$G$10&lt;=$D144,$G144,0)+IF(I$10-$H$10&lt;=$D144,$H144,0),0),"")</f>
        <v/>
      </c>
      <c r="I199" s="14" t="str">
        <f>IF(J$8=1,IF($C144&gt;0,IF(J$10-$E$10&lt;=$D144,$E144,0)+IF(J$10-$F$10&lt;=$D144,$F144,0)+IF(J$10-$G$10&lt;=$D144,$G144,0)+IF(J$10-$H$10&lt;=$D144,$H144,0)+IF(J$10-$I$10&lt;=$D144,$I144,0),0),"")</f>
        <v/>
      </c>
      <c r="J199" s="14" t="str">
        <f>IF(K$8=1,IF($C144&gt;0,IF(K$10-$E$10&lt;=$D144,$E144,0)+IF(K$10-$F$10&lt;=$D144,$F144,0)+IF(K$10-$G$10&lt;=$D144,$G144,0)+IF(K$10-$H$10&lt;=$D144,$H144,0)+IF(K$10-$I$10&lt;=$D144,$I144,0)+IF(K$10-$J$10&lt;=$D144,$J144,0),0),"")</f>
        <v/>
      </c>
      <c r="K199" s="14">
        <v>0.05</v>
      </c>
      <c r="L199" s="14">
        <v>120000</v>
      </c>
      <c r="M199" s="14">
        <f>SUMPRODUCT(K199:K200,L199:L200)</f>
        <v>12000</v>
      </c>
      <c r="N199" s="14"/>
      <c r="O199" s="14" t="str">
        <f>IF(P$8=1,IF($C144&gt;0,IF(P$10-$E$10&lt;=$D144,$E144,0)+IF(P$10-$F$10&lt;=$D144,$F144,0)+IF(P$10-$G$10&lt;=$D144,$G144,0)+IF(P$10-$H$10&lt;=$D144,$H144,0)+IF(P$10-$I$10&lt;=$D144,$I144,0)+IF(P$10-$J$10&lt;=$D144,$J144,0)+IF(P$10-$K$10&lt;=$D144,$K144,0)+IF(P$10-$L$10&lt;=$D144,$L144,0),0)+IF(P$10-$M$10&lt;=$D144,$M144,0)+IF(P$10-$N$10&lt;=$D144,$N144,0)+IF(P$10-$O$10&lt;=$D144,$O144,0),"")</f>
        <v/>
      </c>
      <c r="P199" s="14" t="str">
        <f>IF(Q$8=1,IF($C144&gt;0,IF(Q$10-$E$10&lt;=$D144,$E144,0)+IF(Q$10-$F$10&lt;=$D144,$F144,0)+IF(Q$10-$G$10&lt;=$D144,$G144,0)+IF(Q$10-$H$10&lt;=$D144,$H144,0)+IF(Q$10-$I$10&lt;=$D144,$I144,0)+IF(Q$10-$J$10&lt;=$D144,$J144,0)+IF(Q$10-$K$10&lt;=$D144,$K144,0)+IF(Q$10-$L$10&lt;=$D144,$L144,0),0)+IF(Q$10-$M$10&lt;=$D144,$M144,0)+IF(Q$10-$N$10&lt;=$D144,$N144,0)+IF(Q$10-$O$10&lt;=$D144,$O144,0)+IF(Q$10-$P$10&lt;=$D144,$P144,0),"")</f>
        <v/>
      </c>
      <c r="Q199" s="14" t="str">
        <f>IF(R$8=1,IF($C144&gt;0,IF(R$10-$E$10&lt;=$D144,$E144,0)+IF(R$10-$F$10&lt;=$D144,$F144,0)+IF(R$10-$G$10&lt;=$D144,$G144,0)+IF(R$10-$H$10&lt;=$D144,$H144,0)+IF(R$10-$I$10&lt;=$D144,$I144,0)+IF(R$10-$J$10&lt;=$D144,$J144,0)+IF(R$10-$K$10&lt;=$D144,$K144,0)+IF(R$10-$L$10&lt;=$D144,$L144,0),0)+IF(R$10-$M$10&lt;=$D144,$M144,0)+IF(R$10-$N$10&lt;=$D144,$N144,0)+IF(R$10-$O$10&lt;=$D144,$O144,0)+IF(R$10-$P$10&lt;=$D144,$P144,0)+IF(R$10-$Q$10&lt;=$D144,$Q144,0),"")</f>
        <v/>
      </c>
      <c r="R199" s="14" t="str">
        <f>IF(S$8=1,IF($C144&gt;0,IF(S$10-$E$10&lt;=$D144,$E144,0)+IF(S$10-$F$10&lt;=$D144,$F144,0)+IF(S$10-$G$10&lt;=$D144,$G144,0)+IF(S$10-$H$10&lt;=$D144,$H144,0)+IF(S$10-$I$10&lt;=$D144,$I144,0)+IF(S$10-$J$10&lt;=$D144,$J144,0)+IF(S$10-$K$10&lt;=$D144,$K144,0)+IF(S$10-$L$10&lt;=$D144,$L144,0),0)+IF(S$10-$M$10&lt;=$D144,$M144,0)+IF(S$10-$N$10&lt;=$D144,$N144,0)+IF(S$10-$O$10&lt;=$D144,$O144,0)+IF(S$10-$P$10&lt;=$D144,$P144,0)+IF(S$10-$Q$10&lt;=$D144,$Q144,0)+IF(S$10-$R$10&lt;=$D144,$R144,0),"")</f>
        <v/>
      </c>
      <c r="S199" s="14" t="str">
        <f>IF(T$8=1,IF($C144&gt;0,IF(T$10-$E$10&lt;=$D144,$E144,0)+IF(T$10-$F$10&lt;=$D144,$F144,0)+IF(T$10-$G$10&lt;=$D144,$G144,0)+IF(T$10-$H$10&lt;=$D144,$H144,0)+IF(T$10-$I$10&lt;=$D144,$I144,0)+IF(T$10-$J$10&lt;=$D144,$J144,0)+IF(T$10-$K$10&lt;=$D144,$K144,0)+IF(T$10-$L$10&lt;=$D144,$L144,0),0)+IF(T$10-$M$10&lt;=$D144,$M144,0)+IF(T$10-$N$10&lt;=$D144,$N144,0)+IF(T$10-$O$10&lt;=$D144,$O144,0)+IF(T$10-$P$10&lt;=$D144,$P144,0)+IF(T$10-$Q$10&lt;=$D144,$Q144,0)+IF(T$10-$R$10&lt;=$D144,$R144,0)+IF(T$10-$S$10&lt;=$D144,$S144,0),"")</f>
        <v/>
      </c>
    </row>
    <row r="200" spans="2:21">
      <c r="B200" s="50" t="str">
        <f>B145</f>
        <v>Edifícios 3</v>
      </c>
      <c r="C200" s="51" t="str">
        <f>IF(C145&gt;0,C145,"")</f>
        <v/>
      </c>
      <c r="D200" s="39"/>
      <c r="E200" s="14">
        <f>IF(F$8=1,IF($C145&gt;0,IF(F$10-$E$10&lt;=$D145,$E145,0),0),"")</f>
        <v>0</v>
      </c>
      <c r="F200" s="14">
        <f>IF(G$8=1,IF($C145&gt;0,IF(G$10-$E$10&lt;=$D145,$E145,0)+IF(G$10-$F$10&lt;=$D145,$F145,0),0),"")</f>
        <v>0</v>
      </c>
      <c r="G200" s="14" t="str">
        <f>IF(H$8=1,IF($C145&gt;0,IF(H$10-$E$10&lt;=$D145,$E145,0)+IF(H$10-$F$10&lt;=$D145,$F145,0)+IF(H$10-$G$10&lt;=$D145,$G145,0),0),"")</f>
        <v/>
      </c>
      <c r="H200" s="14" t="str">
        <f>IF(I$8=1,IF($C145&gt;0,IF(I$10-$E$10&lt;=$D145,$E145,0)+IF(I$10-$F$10&lt;=$D145,$F145,0)+IF(I$10-$G$10&lt;=$D145,$G145,0)+IF(I$10-$H$10&lt;=$D145,$H145,0),0),"")</f>
        <v/>
      </c>
      <c r="I200" s="14" t="str">
        <f>IF(J$8=1,IF($C145&gt;0,IF(J$10-$E$10&lt;=$D145,$E145,0)+IF(J$10-$F$10&lt;=$D145,$F145,0)+IF(J$10-$G$10&lt;=$D145,$G145,0)+IF(J$10-$H$10&lt;=$D145,$H145,0)+IF(J$10-$I$10&lt;=$D145,$I145,0),0),"")</f>
        <v/>
      </c>
      <c r="J200" s="14" t="str">
        <f>IF(K$8=1,IF($C145&gt;0,IF(K$10-$E$10&lt;=$D145,$E145,0)+IF(K$10-$F$10&lt;=$D145,$F145,0)+IF(K$10-$G$10&lt;=$D145,$G145,0)+IF(K$10-$H$10&lt;=$D145,$H145,0)+IF(K$10-$I$10&lt;=$D145,$I145,0)+IF(K$10-$J$10&lt;=$D145,$J145,0),0),"")</f>
        <v/>
      </c>
      <c r="K200" s="14">
        <v>0.05</v>
      </c>
      <c r="L200" s="14">
        <v>120000</v>
      </c>
      <c r="M200" s="14"/>
      <c r="N200" s="14"/>
      <c r="O200" s="14" t="str">
        <f>IF(P$8=1,IF($C145&gt;0,IF(P$10-$E$10&lt;=$D145,$E145,0)+IF(P$10-$F$10&lt;=$D145,$F145,0)+IF(P$10-$G$10&lt;=$D145,$G145,0)+IF(P$10-$H$10&lt;=$D145,$H145,0)+IF(P$10-$I$10&lt;=$D145,$I145,0)+IF(P$10-$J$10&lt;=$D145,$J145,0)+IF(P$10-$K$10&lt;=$D145,$K145,0)+IF(P$10-$L$10&lt;=$D145,$L145,0),0)+IF(P$10-$M$10&lt;=$D145,$M145,0)+IF(P$10-$N$10&lt;=$D145,$N145,0)+IF(P$10-$O$10&lt;=$D145,$O145,0),"")</f>
        <v/>
      </c>
      <c r="P200" s="14" t="str">
        <f>IF(Q$8=1,IF($C145&gt;0,IF(Q$10-$E$10&lt;=$D145,$E145,0)+IF(Q$10-$F$10&lt;=$D145,$F145,0)+IF(Q$10-$G$10&lt;=$D145,$G145,0)+IF(Q$10-$H$10&lt;=$D145,$H145,0)+IF(Q$10-$I$10&lt;=$D145,$I145,0)+IF(Q$10-$J$10&lt;=$D145,$J145,0)+IF(Q$10-$K$10&lt;=$D145,$K145,0)+IF(Q$10-$L$10&lt;=$D145,$L145,0),0)+IF(Q$10-$M$10&lt;=$D145,$M145,0)+IF(Q$10-$N$10&lt;=$D145,$N145,0)+IF(Q$10-$O$10&lt;=$D145,$O145,0)+IF(Q$10-$P$10&lt;=$D145,$P145,0),"")</f>
        <v/>
      </c>
      <c r="Q200" s="14" t="str">
        <f>IF(R$8=1,IF($C145&gt;0,IF(R$10-$E$10&lt;=$D145,$E145,0)+IF(R$10-$F$10&lt;=$D145,$F145,0)+IF(R$10-$G$10&lt;=$D145,$G145,0)+IF(R$10-$H$10&lt;=$D145,$H145,0)+IF(R$10-$I$10&lt;=$D145,$I145,0)+IF(R$10-$J$10&lt;=$D145,$J145,0)+IF(R$10-$K$10&lt;=$D145,$K145,0)+IF(R$10-$L$10&lt;=$D145,$L145,0),0)+IF(R$10-$M$10&lt;=$D145,$M145,0)+IF(R$10-$N$10&lt;=$D145,$N145,0)+IF(R$10-$O$10&lt;=$D145,$O145,0)+IF(R$10-$P$10&lt;=$D145,$P145,0)+IF(R$10-$Q$10&lt;=$D145,$Q145,0),"")</f>
        <v/>
      </c>
      <c r="R200" s="14" t="str">
        <f>IF(S$8=1,IF($C145&gt;0,IF(S$10-$E$10&lt;=$D145,$E145,0)+IF(S$10-$F$10&lt;=$D145,$F145,0)+IF(S$10-$G$10&lt;=$D145,$G145,0)+IF(S$10-$H$10&lt;=$D145,$H145,0)+IF(S$10-$I$10&lt;=$D145,$I145,0)+IF(S$10-$J$10&lt;=$D145,$J145,0)+IF(S$10-$K$10&lt;=$D145,$K145,0)+IF(S$10-$L$10&lt;=$D145,$L145,0),0)+IF(S$10-$M$10&lt;=$D145,$M145,0)+IF(S$10-$N$10&lt;=$D145,$N145,0)+IF(S$10-$O$10&lt;=$D145,$O145,0)+IF(S$10-$P$10&lt;=$D145,$P145,0)+IF(S$10-$Q$10&lt;=$D145,$Q145,0)+IF(S$10-$R$10&lt;=$D145,$R145,0),"")</f>
        <v/>
      </c>
      <c r="S200" s="14" t="str">
        <f>IF(T$8=1,IF($C145&gt;0,IF(T$10-$E$10&lt;=$D145,$E145,0)+IF(T$10-$F$10&lt;=$D145,$F145,0)+IF(T$10-$G$10&lt;=$D145,$G145,0)+IF(T$10-$H$10&lt;=$D145,$H145,0)+IF(T$10-$I$10&lt;=$D145,$I145,0)+IF(T$10-$J$10&lt;=$D145,$J145,0)+IF(T$10-$K$10&lt;=$D145,$K145,0)+IF(T$10-$L$10&lt;=$D145,$L145,0),0)+IF(T$10-$M$10&lt;=$D145,$M145,0)+IF(T$10-$N$10&lt;=$D145,$N145,0)+IF(T$10-$O$10&lt;=$D145,$O145,0)+IF(T$10-$P$10&lt;=$D145,$P145,0)+IF(T$10-$Q$10&lt;=$D145,$Q145,0)+IF(T$10-$R$10&lt;=$D145,$R145,0)+IF(T$10-$S$10&lt;=$D145,$S145,0),"")</f>
        <v/>
      </c>
    </row>
    <row r="201" spans="2:21">
      <c r="B201" s="50" t="str">
        <f>B146</f>
        <v>Edifícios 4</v>
      </c>
      <c r="C201" s="51" t="str">
        <f>IF(C146&gt;0,C146,"")</f>
        <v/>
      </c>
      <c r="D201" s="39"/>
      <c r="E201" s="14">
        <f>IF(F$8=1,IF($C146&gt;0,IF(F$10-$E$10&lt;=$D146,$E146,0),0),"")</f>
        <v>0</v>
      </c>
      <c r="F201" s="14">
        <f>IF(G$8=1,IF($C146&gt;0,IF(G$10-$E$10&lt;=$D146,$E146,0)+IF(G$10-$F$10&lt;=$D146,$F146,0),0),"")</f>
        <v>0</v>
      </c>
      <c r="G201" s="14" t="str">
        <f>IF(H$8=1,IF($C146&gt;0,IF(H$10-$E$10&lt;=$D146,$E146,0)+IF(H$10-$F$10&lt;=$D146,$F146,0)+IF(H$10-$G$10&lt;=$D146,$G146,0),0),"")</f>
        <v/>
      </c>
      <c r="H201" s="14" t="str">
        <f>IF(I$8=1,IF($C146&gt;0,IF(I$10-$E$10&lt;=$D146,$E146,0)+IF(I$10-$F$10&lt;=$D146,$F146,0)+IF(I$10-$G$10&lt;=$D146,$G146,0)+IF(I$10-$H$10&lt;=$D146,$H146,0),0),"")</f>
        <v/>
      </c>
      <c r="I201" s="14" t="str">
        <f>IF(J$8=1,IF($C146&gt;0,IF(J$10-$E$10&lt;=$D146,$E146,0)+IF(J$10-$F$10&lt;=$D146,$F146,0)+IF(J$10-$G$10&lt;=$D146,$G146,0)+IF(J$10-$H$10&lt;=$D146,$H146,0)+IF(J$10-$I$10&lt;=$D146,$I146,0),0),"")</f>
        <v/>
      </c>
      <c r="J201" s="14" t="str">
        <f>IF(K$8=1,IF($C146&gt;0,IF(K$10-$E$10&lt;=$D146,$E146,0)+IF(K$10-$F$10&lt;=$D146,$F146,0)+IF(K$10-$G$10&lt;=$D146,$G146,0)+IF(K$10-$H$10&lt;=$D146,$H146,0)+IF(K$10-$I$10&lt;=$D146,$I146,0)+IF(K$10-$J$10&lt;=$D146,$J146,0),0),"")</f>
        <v/>
      </c>
      <c r="K201" s="14">
        <v>0.05</v>
      </c>
      <c r="L201" s="14">
        <v>120000</v>
      </c>
      <c r="M201" s="14">
        <f>SUMPRODUCT(K201:K202,L201:L202)</f>
        <v>6000</v>
      </c>
      <c r="N201" s="14" t="str">
        <f>IF(O$8=1,IF($C146&gt;0,IF(O$10-$E$10&lt;=$D146,$E146,0)+IF(O$10-$F$10&lt;=$D146,$F146,0)+IF(O$10-$G$10&lt;=$D146,$G146,0)+IF(O$10-$H$10&lt;=$D146,$H146,0)+IF(O$10-$I$10&lt;=$D146,$I146,0)+IF(O$10-$J$10&lt;=$D146,$J146,0)+IF(O$10-$K$10&lt;=$D146,$K146,0)+IF(O$10-$L$10&lt;=$D146,$L146,0),0)+IF(O$10-$M$10&lt;=$D146,$M146,0)+IF(O$10-$N$10&lt;=$D146,$N146,0),"")</f>
        <v/>
      </c>
      <c r="O201" s="14" t="str">
        <f>IF(P$8=1,IF($C146&gt;0,IF(P$10-$E$10&lt;=$D146,$E146,0)+IF(P$10-$F$10&lt;=$D146,$F146,0)+IF(P$10-$G$10&lt;=$D146,$G146,0)+IF(P$10-$H$10&lt;=$D146,$H146,0)+IF(P$10-$I$10&lt;=$D146,$I146,0)+IF(P$10-$J$10&lt;=$D146,$J146,0)+IF(P$10-$K$10&lt;=$D146,$K146,0)+IF(P$10-$L$10&lt;=$D146,$L146,0),0)+IF(P$10-$M$10&lt;=$D146,$M146,0)+IF(P$10-$N$10&lt;=$D146,$N146,0)+IF(P$10-$O$10&lt;=$D146,$O146,0),"")</f>
        <v/>
      </c>
      <c r="P201" s="14" t="str">
        <f>IF(Q$8=1,IF($C146&gt;0,IF(Q$10-$E$10&lt;=$D146,$E146,0)+IF(Q$10-$F$10&lt;=$D146,$F146,0)+IF(Q$10-$G$10&lt;=$D146,$G146,0)+IF(Q$10-$H$10&lt;=$D146,$H146,0)+IF(Q$10-$I$10&lt;=$D146,$I146,0)+IF(Q$10-$J$10&lt;=$D146,$J146,0)+IF(Q$10-$K$10&lt;=$D146,$K146,0)+IF(Q$10-$L$10&lt;=$D146,$L146,0),0)+IF(Q$10-$M$10&lt;=$D146,$M146,0)+IF(Q$10-$N$10&lt;=$D146,$N146,0)+IF(Q$10-$O$10&lt;=$D146,$O146,0)+IF(Q$10-$P$10&lt;=$D146,$P146,0),"")</f>
        <v/>
      </c>
      <c r="Q201" s="14" t="str">
        <f>IF(R$8=1,IF($C146&gt;0,IF(R$10-$E$10&lt;=$D146,$E146,0)+IF(R$10-$F$10&lt;=$D146,$F146,0)+IF(R$10-$G$10&lt;=$D146,$G146,0)+IF(R$10-$H$10&lt;=$D146,$H146,0)+IF(R$10-$I$10&lt;=$D146,$I146,0)+IF(R$10-$J$10&lt;=$D146,$J146,0)+IF(R$10-$K$10&lt;=$D146,$K146,0)+IF(R$10-$L$10&lt;=$D146,$L146,0),0)+IF(R$10-$M$10&lt;=$D146,$M146,0)+IF(R$10-$N$10&lt;=$D146,$N146,0)+IF(R$10-$O$10&lt;=$D146,$O146,0)+IF(R$10-$P$10&lt;=$D146,$P146,0)+IF(R$10-$Q$10&lt;=$D146,$Q146,0),"")</f>
        <v/>
      </c>
      <c r="R201" s="14" t="str">
        <f>IF(S$8=1,IF($C146&gt;0,IF(S$10-$E$10&lt;=$D146,$E146,0)+IF(S$10-$F$10&lt;=$D146,$F146,0)+IF(S$10-$G$10&lt;=$D146,$G146,0)+IF(S$10-$H$10&lt;=$D146,$H146,0)+IF(S$10-$I$10&lt;=$D146,$I146,0)+IF(S$10-$J$10&lt;=$D146,$J146,0)+IF(S$10-$K$10&lt;=$D146,$K146,0)+IF(S$10-$L$10&lt;=$D146,$L146,0),0)+IF(S$10-$M$10&lt;=$D146,$M146,0)+IF(S$10-$N$10&lt;=$D146,$N146,0)+IF(S$10-$O$10&lt;=$D146,$O146,0)+IF(S$10-$P$10&lt;=$D146,$P146,0)+IF(S$10-$Q$10&lt;=$D146,$Q146,0)+IF(S$10-$R$10&lt;=$D146,$R146,0),"")</f>
        <v/>
      </c>
      <c r="S201" s="14" t="str">
        <f>IF(T$8=1,IF($C146&gt;0,IF(T$10-$E$10&lt;=$D146,$E146,0)+IF(T$10-$F$10&lt;=$D146,$F146,0)+IF(T$10-$G$10&lt;=$D146,$G146,0)+IF(T$10-$H$10&lt;=$D146,$H146,0)+IF(T$10-$I$10&lt;=$D146,$I146,0)+IF(T$10-$J$10&lt;=$D146,$J146,0)+IF(T$10-$K$10&lt;=$D146,$K146,0)+IF(T$10-$L$10&lt;=$D146,$L146,0),0)+IF(T$10-$M$10&lt;=$D146,$M146,0)+IF(T$10-$N$10&lt;=$D146,$N146,0)+IF(T$10-$O$10&lt;=$D146,$O146,0)+IF(T$10-$P$10&lt;=$D146,$P146,0)+IF(T$10-$Q$10&lt;=$D146,$Q146,0)+IF(T$10-$R$10&lt;=$D146,$R146,0)+IF(T$10-$S$10&lt;=$D146,$S146,0),"")</f>
        <v/>
      </c>
    </row>
    <row r="202" spans="2:21">
      <c r="B202" s="21" t="s">
        <v>93</v>
      </c>
      <c r="C202" s="39"/>
      <c r="D202" s="39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spans="2:21">
      <c r="B203" s="50" t="str">
        <f>B148</f>
        <v>Eq. Básico 1</v>
      </c>
      <c r="C203" s="51">
        <f>IF(C148&gt;0,C148,"")</f>
        <v>0.125</v>
      </c>
      <c r="D203" s="39"/>
      <c r="E203" s="14">
        <f>IF(F$8=1,IF($C148&gt;0,IF(F$10-$E$10&lt;=$D148,$E148,0),0),"")</f>
        <v>150000</v>
      </c>
      <c r="F203" s="14">
        <f>IF(G$8=1,IF($C148&gt;0,IF(G$10-$E$10&lt;=$D148,$E148,0)+IF(G$10-$F$10&lt;=$D148,$F148,0),0),"")</f>
        <v>150000</v>
      </c>
      <c r="G203" s="14" t="str">
        <f>IF(H$8=1,IF($C148&gt;0,IF(H$10-$E$10&lt;=$D148,$E148,0)+IF(H$10-$F$10&lt;=$D148,$F148,0)+IF(H$10-$G$10&lt;=$D148,$G148,0),0),"")</f>
        <v/>
      </c>
      <c r="H203" s="14" t="str">
        <f>IF(I$8=1,IF($C148&gt;0,IF(I$10-$E$10&lt;=$D148,$E148,0)+IF(I$10-$F$10&lt;=$D148,$F148,0)+IF(I$10-$G$10&lt;=$D148,$G148,0)+IF(I$10-$H$10&lt;=$D148,$H148,0),0),"")</f>
        <v/>
      </c>
      <c r="I203" s="14" t="str">
        <f>IF(J$8=1,IF($C148&gt;0,IF(J$10-$E$10&lt;=$D148,$E148,0)+IF(J$10-$F$10&lt;=$D148,$F148,0)+IF(J$10-$G$10&lt;=$D148,$G148,0)+IF(J$10-$H$10&lt;=$D148,$H148,0)+IF(J$10-$I$10&lt;=$D148,$I148,0),0),"")</f>
        <v/>
      </c>
      <c r="J203" s="14" t="str">
        <f>IF(K$8=1,IF($C148&gt;0,IF(K$10-$E$10&lt;=$D148,$E148,0)+IF(K$10-$F$10&lt;=$D148,$F148,0)+IF(K$10-$G$10&lt;=$D148,$G148,0)+IF(K$10-$H$10&lt;=$D148,$H148,0)+IF(K$10-$I$10&lt;=$D148,$I148,0)+IF(K$10-$J$10&lt;=$D148,$J148,0),0),"")</f>
        <v/>
      </c>
      <c r="K203" s="14" t="str">
        <f>IF(L$8=1,IF($C148&gt;0,IF(L$10-$E$10&lt;=$D148,$E148,0)+IF(L$10-$F$10&lt;=$D148,$F148,0)+IF(L$10-$G$10&lt;=$D148,$G148,0)+IF(L$10-$H$10&lt;=$D148,$H148,0)+IF(L$10-$I$10&lt;=$D148,$I148,0)+IF(L$10-$J$10&lt;=$D148,$J148,0)+IF(L$10-$K$10&lt;=$D148,$K148,0),0),"")</f>
        <v/>
      </c>
      <c r="L203" s="14" t="str">
        <f>IF(M$8=1,IF($C148&gt;0,IF(M$10-$E$10&lt;=$D148,$E148,0)+IF(M$10-$F$10&lt;=$D148,$F148,0)+IF(M$10-$G$10&lt;=$D148,$G148,0)+IF(M$10-$H$10&lt;=$D148,$H148,0)+IF(M$10-$I$10&lt;=$D148,$I148,0)+IF(M$10-$J$10&lt;=$D148,$J148,0)+IF(M$10-$K$10&lt;=$D148,$K148,0)+IF(M$10-$L$10&lt;=$D148,$L148,0),0),"")</f>
        <v/>
      </c>
      <c r="M203" s="14">
        <f>M199+M201</f>
        <v>18000</v>
      </c>
      <c r="N203" s="14" t="str">
        <f>IF(O$8=1,IF($C148&gt;0,IF(O$10-$E$10&lt;=$D148,$E148,0)+IF(O$10-$F$10&lt;=$D148,$F148,0)+IF(O$10-$G$10&lt;=$D148,$G148,0)+IF(O$10-$H$10&lt;=$D148,$H148,0)+IF(O$10-$I$10&lt;=$D148,$I148,0)+IF(O$10-$J$10&lt;=$D148,$J148,0)+IF(O$10-$K$10&lt;=$D148,$K148,0)+IF(O$10-$L$10&lt;=$D148,$L148,0),0)+IF(O$10-$M$10&lt;=$D148,$M148,0)+IF(O$10-$N$10&lt;=$D148,$N148,0),"")</f>
        <v/>
      </c>
      <c r="O203" s="14" t="str">
        <f>IF(P$8=1,IF($C148&gt;0,IF(P$10-$E$10&lt;=$D148,$E148,0)+IF(P$10-$F$10&lt;=$D148,$F148,0)+IF(P$10-$G$10&lt;=$D148,$G148,0)+IF(P$10-$H$10&lt;=$D148,$H148,0)+IF(P$10-$I$10&lt;=$D148,$I148,0)+IF(P$10-$J$10&lt;=$D148,$J148,0)+IF(P$10-$K$10&lt;=$D148,$K148,0)+IF(P$10-$L$10&lt;=$D148,$L148,0),0)+IF(P$10-$M$10&lt;=$D148,$M148,0)+IF(P$10-$N$10&lt;=$D148,$N148,0)+IF(P$10-$O$10&lt;=$D148,$O148,0),"")</f>
        <v/>
      </c>
      <c r="P203" s="14" t="str">
        <f>IF(Q$8=1,IF($C148&gt;0,IF(Q$10-$E$10&lt;=$D148,$E148,0)+IF(Q$10-$F$10&lt;=$D148,$F148,0)+IF(Q$10-$G$10&lt;=$D148,$G148,0)+IF(Q$10-$H$10&lt;=$D148,$H148,0)+IF(Q$10-$I$10&lt;=$D148,$I148,0)+IF(Q$10-$J$10&lt;=$D148,$J148,0)+IF(Q$10-$K$10&lt;=$D148,$K148,0)+IF(Q$10-$L$10&lt;=$D148,$L148,0),0)+IF(Q$10-$M$10&lt;=$D148,$M148,0)+IF(Q$10-$N$10&lt;=$D148,$N148,0)+IF(Q$10-$O$10&lt;=$D148,$O148,0)+IF(Q$10-$P$10&lt;=$D148,$P148,0),"")</f>
        <v/>
      </c>
      <c r="Q203" s="14" t="str">
        <f>IF(R$8=1,IF($C148&gt;0,IF(R$10-$E$10&lt;=$D148,$E148,0)+IF(R$10-$F$10&lt;=$D148,$F148,0)+IF(R$10-$G$10&lt;=$D148,$G148,0)+IF(R$10-$H$10&lt;=$D148,$H148,0)+IF(R$10-$I$10&lt;=$D148,$I148,0)+IF(R$10-$J$10&lt;=$D148,$J148,0)+IF(R$10-$K$10&lt;=$D148,$K148,0)+IF(R$10-$L$10&lt;=$D148,$L148,0),0)+IF(R$10-$M$10&lt;=$D148,$M148,0)+IF(R$10-$N$10&lt;=$D148,$N148,0)+IF(R$10-$O$10&lt;=$D148,$O148,0)+IF(R$10-$P$10&lt;=$D148,$P148,0)+IF(R$10-$Q$10&lt;=$D148,$Q148,0),"")</f>
        <v/>
      </c>
      <c r="R203" s="14" t="str">
        <f>IF(S$8=1,IF($C148&gt;0,IF(S$10-$E$10&lt;=$D148,$E148,0)+IF(S$10-$F$10&lt;=$D148,$F148,0)+IF(S$10-$G$10&lt;=$D148,$G148,0)+IF(S$10-$H$10&lt;=$D148,$H148,0)+IF(S$10-$I$10&lt;=$D148,$I148,0)+IF(S$10-$J$10&lt;=$D148,$J148,0)+IF(S$10-$K$10&lt;=$D148,$K148,0)+IF(S$10-$L$10&lt;=$D148,$L148,0),0)+IF(S$10-$M$10&lt;=$D148,$M148,0)+IF(S$10-$N$10&lt;=$D148,$N148,0)+IF(S$10-$O$10&lt;=$D148,$O148,0)+IF(S$10-$P$10&lt;=$D148,$P148,0)+IF(S$10-$Q$10&lt;=$D148,$Q148,0)+IF(S$10-$R$10&lt;=$D148,$R148,0),"")</f>
        <v/>
      </c>
      <c r="S203" s="14" t="str">
        <f>IF(T$8=1,IF($C148&gt;0,IF(T$10-$E$10&lt;=$D148,$E148,0)+IF(T$10-$F$10&lt;=$D148,$F148,0)+IF(T$10-$G$10&lt;=$D148,$G148,0)+IF(T$10-$H$10&lt;=$D148,$H148,0)+IF(T$10-$I$10&lt;=$D148,$I148,0)+IF(T$10-$J$10&lt;=$D148,$J148,0)+IF(T$10-$K$10&lt;=$D148,$K148,0)+IF(T$10-$L$10&lt;=$D148,$L148,0),0)+IF(T$10-$M$10&lt;=$D148,$M148,0)+IF(T$10-$N$10&lt;=$D148,$N148,0)+IF(T$10-$O$10&lt;=$D148,$O148,0)+IF(T$10-$P$10&lt;=$D148,$P148,0)+IF(T$10-$Q$10&lt;=$D148,$Q148,0)+IF(T$10-$R$10&lt;=$D148,$R148,0)+IF(T$10-$S$10&lt;=$D148,$S148,0),"")</f>
        <v/>
      </c>
    </row>
    <row r="204" spans="2:21">
      <c r="B204" s="50" t="str">
        <f>B149</f>
        <v>Eq. Básico 2</v>
      </c>
      <c r="C204" s="51" t="str">
        <f>IF(C149&gt;0,C149,"")</f>
        <v/>
      </c>
      <c r="D204" s="39"/>
      <c r="E204" s="14">
        <f>IF(F$8=1,IF($C149&gt;0,IF(F$10-$E$10&lt;=$D149,$E149,0),0),"")</f>
        <v>0</v>
      </c>
      <c r="F204" s="14">
        <f>IF(G$8=1,IF($C149&gt;0,IF(G$10-$E$10&lt;=$D149,$E149,0)+IF(G$10-$F$10&lt;=$D149,$F149,0),0),"")</f>
        <v>0</v>
      </c>
      <c r="G204" s="14" t="str">
        <f>IF(H$8=1,IF($C149&gt;0,IF(H$10-$E$10&lt;=$D149,$E149,0)+IF(H$10-$F$10&lt;=$D149,$F149,0)+IF(H$10-$G$10&lt;=$D149,$G149,0),0),"")</f>
        <v/>
      </c>
      <c r="H204" s="14" t="str">
        <f>IF(I$8=1,IF($C149&gt;0,IF(I$10-$E$10&lt;=$D149,$E149,0)+IF(I$10-$F$10&lt;=$D149,$F149,0)+IF(I$10-$G$10&lt;=$D149,$G149,0)+IF(I$10-$H$10&lt;=$D149,$H149,0),0),"")</f>
        <v/>
      </c>
      <c r="I204" s="14" t="str">
        <f>IF(J$8=1,IF($C149&gt;0,IF(J$10-$E$10&lt;=$D149,$E149,0)+IF(J$10-$F$10&lt;=$D149,$F149,0)+IF(J$10-$G$10&lt;=$D149,$G149,0)+IF(J$10-$H$10&lt;=$D149,$H149,0)+IF(J$10-$I$10&lt;=$D149,$I149,0),0),"")</f>
        <v/>
      </c>
      <c r="J204" s="14" t="str">
        <f>IF(K$8=1,IF($C149&gt;0,IF(K$10-$E$10&lt;=$D149,$E149,0)+IF(K$10-$F$10&lt;=$D149,$F149,0)+IF(K$10-$G$10&lt;=$D149,$G149,0)+IF(K$10-$H$10&lt;=$D149,$H149,0)+IF(K$10-$I$10&lt;=$D149,$I149,0)+IF(K$10-$J$10&lt;=$D149,$J149,0),0),"")</f>
        <v/>
      </c>
      <c r="K204" s="14" t="str">
        <f>IF(L$8=1,IF($C149&gt;0,IF(L$10-$E$10&lt;=$D149,$E149,0)+IF(L$10-$F$10&lt;=$D149,$F149,0)+IF(L$10-$G$10&lt;=$D149,$G149,0)+IF(L$10-$H$10&lt;=$D149,$H149,0)+IF(L$10-$I$10&lt;=$D149,$I149,0)+IF(L$10-$J$10&lt;=$D149,$J149,0)+IF(L$10-$K$10&lt;=$D149,$K149,0),0),"")</f>
        <v/>
      </c>
      <c r="L204" s="14" t="str">
        <f>IF(M$8=1,IF($C149&gt;0,IF(M$10-$E$10&lt;=$D149,$E149,0)+IF(M$10-$F$10&lt;=$D149,$F149,0)+IF(M$10-$G$10&lt;=$D149,$G149,0)+IF(M$10-$H$10&lt;=$D149,$H149,0)+IF(M$10-$I$10&lt;=$D149,$I149,0)+IF(M$10-$J$10&lt;=$D149,$J149,0)+IF(M$10-$K$10&lt;=$D149,$K149,0)+IF(M$10-$L$10&lt;=$D149,$L149,0),0),"")</f>
        <v/>
      </c>
      <c r="M204" s="14" t="str">
        <f>IF(N$8=1,IF($C149&gt;0,IF(N$10-$E$10&lt;=$D149,$E149,0)+IF(N$10-$F$10&lt;=$D149,$F149,0)+IF(N$10-$G$10&lt;=$D149,$G149,0)+IF(N$10-$H$10&lt;=$D149,$H149,0)+IF(N$10-$I$10&lt;=$D149,$I149,0)+IF(N$10-$J$10&lt;=$D149,$J149,0)+IF(N$10-$K$10&lt;=$D149,$K149,0)+IF(N$10-$L$10&lt;=$D149,$L149,0),0)+IF(N$10-$M$10&lt;=$D149,$M149,0),"")</f>
        <v/>
      </c>
      <c r="N204" s="14" t="str">
        <f>IF(O$8=1,IF($C149&gt;0,IF(O$10-$E$10&lt;=$D149,$E149,0)+IF(O$10-$F$10&lt;=$D149,$F149,0)+IF(O$10-$G$10&lt;=$D149,$G149,0)+IF(O$10-$H$10&lt;=$D149,$H149,0)+IF(O$10-$I$10&lt;=$D149,$I149,0)+IF(O$10-$J$10&lt;=$D149,$J149,0)+IF(O$10-$K$10&lt;=$D149,$K149,0)+IF(O$10-$L$10&lt;=$D149,$L149,0),0)+IF(O$10-$M$10&lt;=$D149,$M149,0)+IF(O$10-$N$10&lt;=$D149,$N149,0),"")</f>
        <v/>
      </c>
      <c r="O204" s="14" t="str">
        <f>IF(P$8=1,IF($C149&gt;0,IF(P$10-$E$10&lt;=$D149,$E149,0)+IF(P$10-$F$10&lt;=$D149,$F149,0)+IF(P$10-$G$10&lt;=$D149,$G149,0)+IF(P$10-$H$10&lt;=$D149,$H149,0)+IF(P$10-$I$10&lt;=$D149,$I149,0)+IF(P$10-$J$10&lt;=$D149,$J149,0)+IF(P$10-$K$10&lt;=$D149,$K149,0)+IF(P$10-$L$10&lt;=$D149,$L149,0),0)+IF(P$10-$M$10&lt;=$D149,$M149,0)+IF(P$10-$N$10&lt;=$D149,$N149,0)+IF(P$10-$O$10&lt;=$D149,$O149,0),"")</f>
        <v/>
      </c>
      <c r="P204" s="14" t="str">
        <f>IF(Q$8=1,IF($C149&gt;0,IF(Q$10-$E$10&lt;=$D149,$E149,0)+IF(Q$10-$F$10&lt;=$D149,$F149,0)+IF(Q$10-$G$10&lt;=$D149,$G149,0)+IF(Q$10-$H$10&lt;=$D149,$H149,0)+IF(Q$10-$I$10&lt;=$D149,$I149,0)+IF(Q$10-$J$10&lt;=$D149,$J149,0)+IF(Q$10-$K$10&lt;=$D149,$K149,0)+IF(Q$10-$L$10&lt;=$D149,$L149,0),0)+IF(Q$10-$M$10&lt;=$D149,$M149,0)+IF(Q$10-$N$10&lt;=$D149,$N149,0)+IF(Q$10-$O$10&lt;=$D149,$O149,0)+IF(Q$10-$P$10&lt;=$D149,$P149,0),"")</f>
        <v/>
      </c>
      <c r="Q204" s="14" t="str">
        <f>IF(R$8=1,IF($C149&gt;0,IF(R$10-$E$10&lt;=$D149,$E149,0)+IF(R$10-$F$10&lt;=$D149,$F149,0)+IF(R$10-$G$10&lt;=$D149,$G149,0)+IF(R$10-$H$10&lt;=$D149,$H149,0)+IF(R$10-$I$10&lt;=$D149,$I149,0)+IF(R$10-$J$10&lt;=$D149,$J149,0)+IF(R$10-$K$10&lt;=$D149,$K149,0)+IF(R$10-$L$10&lt;=$D149,$L149,0),0)+IF(R$10-$M$10&lt;=$D149,$M149,0)+IF(R$10-$N$10&lt;=$D149,$N149,0)+IF(R$10-$O$10&lt;=$D149,$O149,0)+IF(R$10-$P$10&lt;=$D149,$P149,0)+IF(R$10-$Q$10&lt;=$D149,$Q149,0),"")</f>
        <v/>
      </c>
      <c r="R204" s="14" t="str">
        <f>IF(S$8=1,IF($C149&gt;0,IF(S$10-$E$10&lt;=$D149,$E149,0)+IF(S$10-$F$10&lt;=$D149,$F149,0)+IF(S$10-$G$10&lt;=$D149,$G149,0)+IF(S$10-$H$10&lt;=$D149,$H149,0)+IF(S$10-$I$10&lt;=$D149,$I149,0)+IF(S$10-$J$10&lt;=$D149,$J149,0)+IF(S$10-$K$10&lt;=$D149,$K149,0)+IF(S$10-$L$10&lt;=$D149,$L149,0),0)+IF(S$10-$M$10&lt;=$D149,$M149,0)+IF(S$10-$N$10&lt;=$D149,$N149,0)+IF(S$10-$O$10&lt;=$D149,$O149,0)+IF(S$10-$P$10&lt;=$D149,$P149,0)+IF(S$10-$Q$10&lt;=$D149,$Q149,0)+IF(S$10-$R$10&lt;=$D149,$R149,0),"")</f>
        <v/>
      </c>
      <c r="S204" s="14" t="str">
        <f>IF(T$8=1,IF($C149&gt;0,IF(T$10-$E$10&lt;=$D149,$E149,0)+IF(T$10-$F$10&lt;=$D149,$F149,0)+IF(T$10-$G$10&lt;=$D149,$G149,0)+IF(T$10-$H$10&lt;=$D149,$H149,0)+IF(T$10-$I$10&lt;=$D149,$I149,0)+IF(T$10-$J$10&lt;=$D149,$J149,0)+IF(T$10-$K$10&lt;=$D149,$K149,0)+IF(T$10-$L$10&lt;=$D149,$L149,0),0)+IF(T$10-$M$10&lt;=$D149,$M149,0)+IF(T$10-$N$10&lt;=$D149,$N149,0)+IF(T$10-$O$10&lt;=$D149,$O149,0)+IF(T$10-$P$10&lt;=$D149,$P149,0)+IF(T$10-$Q$10&lt;=$D149,$Q149,0)+IF(T$10-$R$10&lt;=$D149,$R149,0)+IF(T$10-$S$10&lt;=$D149,$S149,0),"")</f>
        <v/>
      </c>
    </row>
    <row r="205" spans="2:21">
      <c r="B205" s="50" t="str">
        <f>B150</f>
        <v>Eq. Básico 3</v>
      </c>
      <c r="C205" s="51" t="str">
        <f>IF(C150&gt;0,C150,"")</f>
        <v/>
      </c>
      <c r="D205" s="39"/>
      <c r="E205" s="14">
        <f>IF(F$8=1,IF($C150&gt;0,IF(F$10-$E$10&lt;=$D150,$E150,0),0),"")</f>
        <v>0</v>
      </c>
      <c r="F205" s="14">
        <f>IF(G$8=1,IF($C150&gt;0,IF(G$10-$E$10&lt;=$D150,$E150,0)+IF(G$10-$F$10&lt;=$D150,$F150,0),0),"")</f>
        <v>0</v>
      </c>
      <c r="G205" s="14" t="str">
        <f>IF(H$8=1,IF($C150&gt;0,IF(H$10-$E$10&lt;=$D150,$E150,0)+IF(H$10-$F$10&lt;=$D150,$F150,0)+IF(H$10-$G$10&lt;=$D150,$G150,0),0),"")</f>
        <v/>
      </c>
      <c r="H205" s="14" t="str">
        <f>IF(I$8=1,IF($C150&gt;0,IF(I$10-$E$10&lt;=$D150,$E150,0)+IF(I$10-$F$10&lt;=$D150,$F150,0)+IF(I$10-$G$10&lt;=$D150,$G150,0)+IF(I$10-$H$10&lt;=$D150,$H150,0),0),"")</f>
        <v/>
      </c>
      <c r="I205" s="14" t="str">
        <f>IF(J$8=1,IF($C150&gt;0,IF(J$10-$E$10&lt;=$D150,$E150,0)+IF(J$10-$F$10&lt;=$D150,$F150,0)+IF(J$10-$G$10&lt;=$D150,$G150,0)+IF(J$10-$H$10&lt;=$D150,$H150,0)+IF(J$10-$I$10&lt;=$D150,$I150,0),0),"")</f>
        <v/>
      </c>
      <c r="J205" s="14" t="str">
        <f>IF(K$8=1,IF($C150&gt;0,IF(K$10-$E$10&lt;=$D150,$E150,0)+IF(K$10-$F$10&lt;=$D150,$F150,0)+IF(K$10-$G$10&lt;=$D150,$G150,0)+IF(K$10-$H$10&lt;=$D150,$H150,0)+IF(K$10-$I$10&lt;=$D150,$I150,0)+IF(K$10-$J$10&lt;=$D150,$J150,0),0),"")</f>
        <v/>
      </c>
      <c r="K205" s="14" t="str">
        <f>IF(L$8=1,IF($C150&gt;0,IF(L$10-$E$10&lt;=$D150,$E150,0)+IF(L$10-$F$10&lt;=$D150,$F150,0)+IF(L$10-$G$10&lt;=$D150,$G150,0)+IF(L$10-$H$10&lt;=$D150,$H150,0)+IF(L$10-$I$10&lt;=$D150,$I150,0)+IF(L$10-$J$10&lt;=$D150,$J150,0)+IF(L$10-$K$10&lt;=$D150,$K150,0),0),"")</f>
        <v/>
      </c>
      <c r="L205" s="14" t="str">
        <f>IF(M$8=1,IF($C150&gt;0,IF(M$10-$E$10&lt;=$D150,$E150,0)+IF(M$10-$F$10&lt;=$D150,$F150,0)+IF(M$10-$G$10&lt;=$D150,$G150,0)+IF(M$10-$H$10&lt;=$D150,$H150,0)+IF(M$10-$I$10&lt;=$D150,$I150,0)+IF(M$10-$J$10&lt;=$D150,$J150,0)+IF(M$10-$K$10&lt;=$D150,$K150,0)+IF(M$10-$L$10&lt;=$D150,$L150,0),0),"")</f>
        <v/>
      </c>
      <c r="M205" s="14" t="str">
        <f>IF(N$8=1,IF($C150&gt;0,IF(N$10-$E$10&lt;=$D150,$E150,0)+IF(N$10-$F$10&lt;=$D150,$F150,0)+IF(N$10-$G$10&lt;=$D150,$G150,0)+IF(N$10-$H$10&lt;=$D150,$H150,0)+IF(N$10-$I$10&lt;=$D150,$I150,0)+IF(N$10-$J$10&lt;=$D150,$J150,0)+IF(N$10-$K$10&lt;=$D150,$K150,0)+IF(N$10-$L$10&lt;=$D150,$L150,0),0)+IF(N$10-$M$10&lt;=$D150,$M150,0),"")</f>
        <v/>
      </c>
      <c r="N205" s="14" t="str">
        <f>IF(O$8=1,IF($C150&gt;0,IF(O$10-$E$10&lt;=$D150,$E150,0)+IF(O$10-$F$10&lt;=$D150,$F150,0)+IF(O$10-$G$10&lt;=$D150,$G150,0)+IF(O$10-$H$10&lt;=$D150,$H150,0)+IF(O$10-$I$10&lt;=$D150,$I150,0)+IF(O$10-$J$10&lt;=$D150,$J150,0)+IF(O$10-$K$10&lt;=$D150,$K150,0)+IF(O$10-$L$10&lt;=$D150,$L150,0),0)+IF(O$10-$M$10&lt;=$D150,$M150,0)+IF(O$10-$N$10&lt;=$D150,$N150,0),"")</f>
        <v/>
      </c>
      <c r="O205" s="14" t="str">
        <f>IF(P$8=1,IF($C150&gt;0,IF(P$10-$E$10&lt;=$D150,$E150,0)+IF(P$10-$F$10&lt;=$D150,$F150,0)+IF(P$10-$G$10&lt;=$D150,$G150,0)+IF(P$10-$H$10&lt;=$D150,$H150,0)+IF(P$10-$I$10&lt;=$D150,$I150,0)+IF(P$10-$J$10&lt;=$D150,$J150,0)+IF(P$10-$K$10&lt;=$D150,$K150,0)+IF(P$10-$L$10&lt;=$D150,$L150,0),0)+IF(P$10-$M$10&lt;=$D150,$M150,0)+IF(P$10-$N$10&lt;=$D150,$N150,0)+IF(P$10-$O$10&lt;=$D150,$O150,0),"")</f>
        <v/>
      </c>
      <c r="P205" s="14" t="str">
        <f>IF(Q$8=1,IF($C150&gt;0,IF(Q$10-$E$10&lt;=$D150,$E150,0)+IF(Q$10-$F$10&lt;=$D150,$F150,0)+IF(Q$10-$G$10&lt;=$D150,$G150,0)+IF(Q$10-$H$10&lt;=$D150,$H150,0)+IF(Q$10-$I$10&lt;=$D150,$I150,0)+IF(Q$10-$J$10&lt;=$D150,$J150,0)+IF(Q$10-$K$10&lt;=$D150,$K150,0)+IF(Q$10-$L$10&lt;=$D150,$L150,0),0)+IF(Q$10-$M$10&lt;=$D150,$M150,0)+IF(Q$10-$N$10&lt;=$D150,$N150,0)+IF(Q$10-$O$10&lt;=$D150,$O150,0)+IF(Q$10-$P$10&lt;=$D150,$P150,0),"")</f>
        <v/>
      </c>
      <c r="Q205" s="14" t="str">
        <f>IF(R$8=1,IF($C150&gt;0,IF(R$10-$E$10&lt;=$D150,$E150,0)+IF(R$10-$F$10&lt;=$D150,$F150,0)+IF(R$10-$G$10&lt;=$D150,$G150,0)+IF(R$10-$H$10&lt;=$D150,$H150,0)+IF(R$10-$I$10&lt;=$D150,$I150,0)+IF(R$10-$J$10&lt;=$D150,$J150,0)+IF(R$10-$K$10&lt;=$D150,$K150,0)+IF(R$10-$L$10&lt;=$D150,$L150,0),0)+IF(R$10-$M$10&lt;=$D150,$M150,0)+IF(R$10-$N$10&lt;=$D150,$N150,0)+IF(R$10-$O$10&lt;=$D150,$O150,0)+IF(R$10-$P$10&lt;=$D150,$P150,0)+IF(R$10-$Q$10&lt;=$D150,$Q150,0),"")</f>
        <v/>
      </c>
      <c r="R205" s="14" t="str">
        <f>IF(S$8=1,IF($C150&gt;0,IF(S$10-$E$10&lt;=$D150,$E150,0)+IF(S$10-$F$10&lt;=$D150,$F150,0)+IF(S$10-$G$10&lt;=$D150,$G150,0)+IF(S$10-$H$10&lt;=$D150,$H150,0)+IF(S$10-$I$10&lt;=$D150,$I150,0)+IF(S$10-$J$10&lt;=$D150,$J150,0)+IF(S$10-$K$10&lt;=$D150,$K150,0)+IF(S$10-$L$10&lt;=$D150,$L150,0),0)+IF(S$10-$M$10&lt;=$D150,$M150,0)+IF(S$10-$N$10&lt;=$D150,$N150,0)+IF(S$10-$O$10&lt;=$D150,$O150,0)+IF(S$10-$P$10&lt;=$D150,$P150,0)+IF(S$10-$Q$10&lt;=$D150,$Q150,0)+IF(S$10-$R$10&lt;=$D150,$R150,0),"")</f>
        <v/>
      </c>
      <c r="S205" s="14" t="str">
        <f>IF(T$8=1,IF($C150&gt;0,IF(T$10-$E$10&lt;=$D150,$E150,0)+IF(T$10-$F$10&lt;=$D150,$F150,0)+IF(T$10-$G$10&lt;=$D150,$G150,0)+IF(T$10-$H$10&lt;=$D150,$H150,0)+IF(T$10-$I$10&lt;=$D150,$I150,0)+IF(T$10-$J$10&lt;=$D150,$J150,0)+IF(T$10-$K$10&lt;=$D150,$K150,0)+IF(T$10-$L$10&lt;=$D150,$L150,0),0)+IF(T$10-$M$10&lt;=$D150,$M150,0)+IF(T$10-$N$10&lt;=$D150,$N150,0)+IF(T$10-$O$10&lt;=$D150,$O150,0)+IF(T$10-$P$10&lt;=$D150,$P150,0)+IF(T$10-$Q$10&lt;=$D150,$Q150,0)+IF(T$10-$R$10&lt;=$D150,$R150,0)+IF(T$10-$S$10&lt;=$D150,$S150,0),"")</f>
        <v/>
      </c>
    </row>
    <row r="206" spans="2:21">
      <c r="B206" s="50" t="str">
        <f>B151</f>
        <v>Eq. Básico 4</v>
      </c>
      <c r="C206" s="51" t="str">
        <f>IF(C151&gt;0,C151,"")</f>
        <v/>
      </c>
      <c r="D206" s="39"/>
      <c r="E206" s="14">
        <f>IF(F$8=1,IF($C151&gt;0,IF(F$10-$E$10&lt;=$D151,$E151,0),0),"")</f>
        <v>0</v>
      </c>
      <c r="F206" s="14">
        <f>IF(G$8=1,IF($C151&gt;0,IF(G$10-$E$10&lt;=$D151,$E151,0)+IF(G$10-$F$10&lt;=$D151,$F151,0),0),"")</f>
        <v>0</v>
      </c>
      <c r="G206" s="14" t="str">
        <f>IF(H$8=1,IF($C151&gt;0,IF(H$10-$E$10&lt;=$D151,$E151,0)+IF(H$10-$F$10&lt;=$D151,$F151,0)+IF(H$10-$G$10&lt;=$D151,$G151,0),0),"")</f>
        <v/>
      </c>
      <c r="H206" s="14" t="str">
        <f>IF(I$8=1,IF($C151&gt;0,IF(I$10-$E$10&lt;=$D151,$E151,0)+IF(I$10-$F$10&lt;=$D151,$F151,0)+IF(I$10-$G$10&lt;=$D151,$G151,0)+IF(I$10-$H$10&lt;=$D151,$H151,0),0),"")</f>
        <v/>
      </c>
      <c r="I206" s="14" t="str">
        <f>IF(J$8=1,IF($C151&gt;0,IF(J$10-$E$10&lt;=$D151,$E151,0)+IF(J$10-$F$10&lt;=$D151,$F151,0)+IF(J$10-$G$10&lt;=$D151,$G151,0)+IF(J$10-$H$10&lt;=$D151,$H151,0)+IF(J$10-$I$10&lt;=$D151,$I151,0),0),"")</f>
        <v/>
      </c>
      <c r="J206" s="14" t="str">
        <f>IF(K$8=1,IF($C151&gt;0,IF(K$10-$E$10&lt;=$D151,$E151,0)+IF(K$10-$F$10&lt;=$D151,$F151,0)+IF(K$10-$G$10&lt;=$D151,$G151,0)+IF(K$10-$H$10&lt;=$D151,$H151,0)+IF(K$10-$I$10&lt;=$D151,$I151,0)+IF(K$10-$J$10&lt;=$D151,$J151,0),0),"")</f>
        <v/>
      </c>
      <c r="K206" s="14" t="str">
        <f>IF(L$8=1,IF($C151&gt;0,IF(L$10-$E$10&lt;=$D151,$E151,0)+IF(L$10-$F$10&lt;=$D151,$F151,0)+IF(L$10-$G$10&lt;=$D151,$G151,0)+IF(L$10-$H$10&lt;=$D151,$H151,0)+IF(L$10-$I$10&lt;=$D151,$I151,0)+IF(L$10-$J$10&lt;=$D151,$J151,0)+IF(L$10-$K$10&lt;=$D151,$K151,0),0),"")</f>
        <v/>
      </c>
      <c r="L206" s="14" t="str">
        <f>IF(M$8=1,IF($C151&gt;0,IF(M$10-$E$10&lt;=$D151,$E151,0)+IF(M$10-$F$10&lt;=$D151,$F151,0)+IF(M$10-$G$10&lt;=$D151,$G151,0)+IF(M$10-$H$10&lt;=$D151,$H151,0)+IF(M$10-$I$10&lt;=$D151,$I151,0)+IF(M$10-$J$10&lt;=$D151,$J151,0)+IF(M$10-$K$10&lt;=$D151,$K151,0)+IF(M$10-$L$10&lt;=$D151,$L151,0),0),"")</f>
        <v/>
      </c>
      <c r="M206" s="14" t="str">
        <f>IF(N$8=1,IF($C151&gt;0,IF(N$10-$E$10&lt;=$D151,$E151,0)+IF(N$10-$F$10&lt;=$D151,$F151,0)+IF(N$10-$G$10&lt;=$D151,$G151,0)+IF(N$10-$H$10&lt;=$D151,$H151,0)+IF(N$10-$I$10&lt;=$D151,$I151,0)+IF(N$10-$J$10&lt;=$D151,$J151,0)+IF(N$10-$K$10&lt;=$D151,$K151,0)+IF(N$10-$L$10&lt;=$D151,$L151,0),0)+IF(N$10-$M$10&lt;=$D151,$M151,0),"")</f>
        <v/>
      </c>
      <c r="N206" s="14" t="str">
        <f>IF(O$8=1,IF($C151&gt;0,IF(O$10-$E$10&lt;=$D151,$E151,0)+IF(O$10-$F$10&lt;=$D151,$F151,0)+IF(O$10-$G$10&lt;=$D151,$G151,0)+IF(O$10-$H$10&lt;=$D151,$H151,0)+IF(O$10-$I$10&lt;=$D151,$I151,0)+IF(O$10-$J$10&lt;=$D151,$J151,0)+IF(O$10-$K$10&lt;=$D151,$K151,0)+IF(O$10-$L$10&lt;=$D151,$L151,0),0)+IF(O$10-$M$10&lt;=$D151,$M151,0)+IF(O$10-$N$10&lt;=$D151,$N151,0),"")</f>
        <v/>
      </c>
      <c r="O206" s="14" t="str">
        <f>IF(P$8=1,IF($C151&gt;0,IF(P$10-$E$10&lt;=$D151,$E151,0)+IF(P$10-$F$10&lt;=$D151,$F151,0)+IF(P$10-$G$10&lt;=$D151,$G151,0)+IF(P$10-$H$10&lt;=$D151,$H151,0)+IF(P$10-$I$10&lt;=$D151,$I151,0)+IF(P$10-$J$10&lt;=$D151,$J151,0)+IF(P$10-$K$10&lt;=$D151,$K151,0)+IF(P$10-$L$10&lt;=$D151,$L151,0),0)+IF(P$10-$M$10&lt;=$D151,$M151,0)+IF(P$10-$N$10&lt;=$D151,$N151,0)+IF(P$10-$O$10&lt;=$D151,$O151,0),"")</f>
        <v/>
      </c>
      <c r="P206" s="14" t="str">
        <f>IF(Q$8=1,IF($C151&gt;0,IF(Q$10-$E$10&lt;=$D151,$E151,0)+IF(Q$10-$F$10&lt;=$D151,$F151,0)+IF(Q$10-$G$10&lt;=$D151,$G151,0)+IF(Q$10-$H$10&lt;=$D151,$H151,0)+IF(Q$10-$I$10&lt;=$D151,$I151,0)+IF(Q$10-$J$10&lt;=$D151,$J151,0)+IF(Q$10-$K$10&lt;=$D151,$K151,0)+IF(Q$10-$L$10&lt;=$D151,$L151,0),0)+IF(Q$10-$M$10&lt;=$D151,$M151,0)+IF(Q$10-$N$10&lt;=$D151,$N151,0)+IF(Q$10-$O$10&lt;=$D151,$O151,0)+IF(Q$10-$P$10&lt;=$D151,$P151,0),"")</f>
        <v/>
      </c>
      <c r="Q206" s="14" t="str">
        <f>IF(R$8=1,IF($C151&gt;0,IF(R$10-$E$10&lt;=$D151,$E151,0)+IF(R$10-$F$10&lt;=$D151,$F151,0)+IF(R$10-$G$10&lt;=$D151,$G151,0)+IF(R$10-$H$10&lt;=$D151,$H151,0)+IF(R$10-$I$10&lt;=$D151,$I151,0)+IF(R$10-$J$10&lt;=$D151,$J151,0)+IF(R$10-$K$10&lt;=$D151,$K151,0)+IF(R$10-$L$10&lt;=$D151,$L151,0),0)+IF(R$10-$M$10&lt;=$D151,$M151,0)+IF(R$10-$N$10&lt;=$D151,$N151,0)+IF(R$10-$O$10&lt;=$D151,$O151,0)+IF(R$10-$P$10&lt;=$D151,$P151,0)+IF(R$10-$Q$10&lt;=$D151,$Q151,0),"")</f>
        <v/>
      </c>
      <c r="R206" s="14" t="str">
        <f>IF(S$8=1,IF($C151&gt;0,IF(S$10-$E$10&lt;=$D151,$E151,0)+IF(S$10-$F$10&lt;=$D151,$F151,0)+IF(S$10-$G$10&lt;=$D151,$G151,0)+IF(S$10-$H$10&lt;=$D151,$H151,0)+IF(S$10-$I$10&lt;=$D151,$I151,0)+IF(S$10-$J$10&lt;=$D151,$J151,0)+IF(S$10-$K$10&lt;=$D151,$K151,0)+IF(S$10-$L$10&lt;=$D151,$L151,0),0)+IF(S$10-$M$10&lt;=$D151,$M151,0)+IF(S$10-$N$10&lt;=$D151,$N151,0)+IF(S$10-$O$10&lt;=$D151,$O151,0)+IF(S$10-$P$10&lt;=$D151,$P151,0)+IF(S$10-$Q$10&lt;=$D151,$Q151,0)+IF(S$10-$R$10&lt;=$D151,$R151,0),"")</f>
        <v/>
      </c>
      <c r="S206" s="14" t="str">
        <f>IF(T$8=1,IF($C151&gt;0,IF(T$10-$E$10&lt;=$D151,$E151,0)+IF(T$10-$F$10&lt;=$D151,$F151,0)+IF(T$10-$G$10&lt;=$D151,$G151,0)+IF(T$10-$H$10&lt;=$D151,$H151,0)+IF(T$10-$I$10&lt;=$D151,$I151,0)+IF(T$10-$J$10&lt;=$D151,$J151,0)+IF(T$10-$K$10&lt;=$D151,$K151,0)+IF(T$10-$L$10&lt;=$D151,$L151,0),0)+IF(T$10-$M$10&lt;=$D151,$M151,0)+IF(T$10-$N$10&lt;=$D151,$N151,0)+IF(T$10-$O$10&lt;=$D151,$O151,0)+IF(T$10-$P$10&lt;=$D151,$P151,0)+IF(T$10-$Q$10&lt;=$D151,$Q151,0)+IF(T$10-$R$10&lt;=$D151,$R151,0)+IF(T$10-$S$10&lt;=$D151,$S151,0),"")</f>
        <v/>
      </c>
    </row>
    <row r="207" spans="2:21">
      <c r="B207" s="21" t="s">
        <v>94</v>
      </c>
      <c r="C207" s="39"/>
      <c r="D207" s="39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21">
      <c r="B208" s="50" t="str">
        <f>B153</f>
        <v>Eq. Transporte 1</v>
      </c>
      <c r="C208" s="51">
        <f>IF(C153&gt;0,C153,"")</f>
        <v>0.2</v>
      </c>
      <c r="D208" s="39"/>
      <c r="E208" s="14">
        <f>IF(F$8=1,IF($C153&gt;0,IF(F$10-$E$10&lt;=$D153,$E153,0),0),"")</f>
        <v>25000</v>
      </c>
      <c r="F208" s="14">
        <f>IF(G$8=1,IF($C153&gt;0,IF(G$10-$E$10&lt;=$D153,$E153,0)+IF(G$10-$F$10&lt;=$D153,$F153,0),0),"")</f>
        <v>25000</v>
      </c>
      <c r="G208" s="14" t="str">
        <f>IF(H$8=1,IF($C153&gt;0,IF(H$10-$E$10&lt;=$D153,$E153,0)+IF(H$10-$F$10&lt;=$D153,$F153,0)+IF(H$10-$G$10&lt;=$D153,$G153,0),0),"")</f>
        <v/>
      </c>
      <c r="H208" s="14" t="str">
        <f>IF(I$8=1,IF($C153&gt;0,IF(I$10-$E$10&lt;=$D153,$E153,0)+IF(I$10-$F$10&lt;=$D153,$F153,0)+IF(I$10-$G$10&lt;=$D153,$G153,0)+IF(I$10-$H$10&lt;=$D153,$H153,0),0),"")</f>
        <v/>
      </c>
      <c r="I208" s="14" t="str">
        <f>IF(J$8=1,IF($C153&gt;0,IF(J$10-$E$10&lt;=$D153,$E153,0)+IF(J$10-$F$10&lt;=$D153,$F153,0)+IF(J$10-$G$10&lt;=$D153,$G153,0)+IF(J$10-$H$10&lt;=$D153,$H153,0)+IF(J$10-$I$10&lt;=$D153,$I153,0),0),"")</f>
        <v/>
      </c>
      <c r="J208" s="14" t="str">
        <f>IF(K$8=1,IF($C153&gt;0,IF(K$10-$E$10&lt;=$D153,$E153,0)+IF(K$10-$F$10&lt;=$D153,$F153,0)+IF(K$10-$G$10&lt;=$D153,$G153,0)+IF(K$10-$H$10&lt;=$D153,$H153,0)+IF(K$10-$I$10&lt;=$D153,$I153,0)+IF(K$10-$J$10&lt;=$D153,$J153,0),0),"")</f>
        <v/>
      </c>
      <c r="K208" s="14" t="str">
        <f>IF(L$8=1,IF($C153&gt;0,IF(L$10-$E$10&lt;=$D153,$E153,0)+IF(L$10-$F$10&lt;=$D153,$F153,0)+IF(L$10-$G$10&lt;=$D153,$G153,0)+IF(L$10-$H$10&lt;=$D153,$H153,0)+IF(L$10-$I$10&lt;=$D153,$I153,0)+IF(L$10-$J$10&lt;=$D153,$J153,0)+IF(L$10-$K$10&lt;=$D153,$K153,0),0),"")</f>
        <v/>
      </c>
      <c r="L208" s="14" t="str">
        <f>IF(M$8=1,IF($C153&gt;0,IF(M$10-$E$10&lt;=$D153,$E153,0)+IF(M$10-$F$10&lt;=$D153,$F153,0)+IF(M$10-$G$10&lt;=$D153,$G153,0)+IF(M$10-$H$10&lt;=$D153,$H153,0)+IF(M$10-$I$10&lt;=$D153,$I153,0)+IF(M$10-$J$10&lt;=$D153,$J153,0)+IF(M$10-$K$10&lt;=$D153,$K153,0)+IF(M$10-$L$10&lt;=$D153,$L153,0),0),"")</f>
        <v/>
      </c>
      <c r="M208" s="14" t="str">
        <f>IF(N$8=1,IF($C153&gt;0,IF(N$10-$E$10&lt;=$D153,$E153,0)+IF(N$10-$F$10&lt;=$D153,$F153,0)+IF(N$10-$G$10&lt;=$D153,$G153,0)+IF(N$10-$H$10&lt;=$D153,$H153,0)+IF(N$10-$I$10&lt;=$D153,$I153,0)+IF(N$10-$J$10&lt;=$D153,$J153,0)+IF(N$10-$K$10&lt;=$D153,$K153,0)+IF(N$10-$L$10&lt;=$D153,$L153,0),0)+IF(N$10-$M$10&lt;=$D153,$M153,0),"")</f>
        <v/>
      </c>
      <c r="N208" s="14" t="str">
        <f>IF(O$8=1,IF($C153&gt;0,IF(O$10-$E$10&lt;=$D153,$E153,0)+IF(O$10-$F$10&lt;=$D153,$F153,0)+IF(O$10-$G$10&lt;=$D153,$G153,0)+IF(O$10-$H$10&lt;=$D153,$H153,0)+IF(O$10-$I$10&lt;=$D153,$I153,0)+IF(O$10-$J$10&lt;=$D153,$J153,0)+IF(O$10-$K$10&lt;=$D153,$K153,0)+IF(O$10-$L$10&lt;=$D153,$L153,0),0)+IF(O$10-$M$10&lt;=$D153,$M153,0)+IF(O$10-$N$10&lt;=$D153,$N153,0),"")</f>
        <v/>
      </c>
      <c r="O208" s="14" t="str">
        <f>IF(P$8=1,IF($C153&gt;0,IF(P$10-$E$10&lt;=$D153,$E153,0)+IF(P$10-$F$10&lt;=$D153,$F153,0)+IF(P$10-$G$10&lt;=$D153,$G153,0)+IF(P$10-$H$10&lt;=$D153,$H153,0)+IF(P$10-$I$10&lt;=$D153,$I153,0)+IF(P$10-$J$10&lt;=$D153,$J153,0)+IF(P$10-$K$10&lt;=$D153,$K153,0)+IF(P$10-$L$10&lt;=$D153,$L153,0),0)+IF(P$10-$M$10&lt;=$D153,$M153,0)+IF(P$10-$N$10&lt;=$D153,$N153,0)+IF(P$10-$O$10&lt;=$D153,$O153,0),"")</f>
        <v/>
      </c>
      <c r="P208" s="14" t="str">
        <f>IF(Q$8=1,IF($C153&gt;0,IF(Q$10-$E$10&lt;=$D153,$E153,0)+IF(Q$10-$F$10&lt;=$D153,$F153,0)+IF(Q$10-$G$10&lt;=$D153,$G153,0)+IF(Q$10-$H$10&lt;=$D153,$H153,0)+IF(Q$10-$I$10&lt;=$D153,$I153,0)+IF(Q$10-$J$10&lt;=$D153,$J153,0)+IF(Q$10-$K$10&lt;=$D153,$K153,0)+IF(Q$10-$L$10&lt;=$D153,$L153,0),0)+IF(Q$10-$M$10&lt;=$D153,$M153,0)+IF(Q$10-$N$10&lt;=$D153,$N153,0)+IF(Q$10-$O$10&lt;=$D153,$O153,0)+IF(Q$10-$P$10&lt;=$D153,$P153,0),"")</f>
        <v/>
      </c>
      <c r="Q208" s="14" t="str">
        <f>IF(R$8=1,IF($C153&gt;0,IF(R$10-$E$10&lt;=$D153,$E153,0)+IF(R$10-$F$10&lt;=$D153,$F153,0)+IF(R$10-$G$10&lt;=$D153,$G153,0)+IF(R$10-$H$10&lt;=$D153,$H153,0)+IF(R$10-$I$10&lt;=$D153,$I153,0)+IF(R$10-$J$10&lt;=$D153,$J153,0)+IF(R$10-$K$10&lt;=$D153,$K153,0)+IF(R$10-$L$10&lt;=$D153,$L153,0),0)+IF(R$10-$M$10&lt;=$D153,$M153,0)+IF(R$10-$N$10&lt;=$D153,$N153,0)+IF(R$10-$O$10&lt;=$D153,$O153,0)+IF(R$10-$P$10&lt;=$D153,$P153,0)+IF(R$10-$Q$10&lt;=$D153,$Q153,0),"")</f>
        <v/>
      </c>
      <c r="R208" s="14" t="str">
        <f>IF(S$8=1,IF($C153&gt;0,IF(S$10-$E$10&lt;=$D153,$E153,0)+IF(S$10-$F$10&lt;=$D153,$F153,0)+IF(S$10-$G$10&lt;=$D153,$G153,0)+IF(S$10-$H$10&lt;=$D153,$H153,0)+IF(S$10-$I$10&lt;=$D153,$I153,0)+IF(S$10-$J$10&lt;=$D153,$J153,0)+IF(S$10-$K$10&lt;=$D153,$K153,0)+IF(S$10-$L$10&lt;=$D153,$L153,0),0)+IF(S$10-$M$10&lt;=$D153,$M153,0)+IF(S$10-$N$10&lt;=$D153,$N153,0)+IF(S$10-$O$10&lt;=$D153,$O153,0)+IF(S$10-$P$10&lt;=$D153,$P153,0)+IF(S$10-$Q$10&lt;=$D153,$Q153,0)+IF(S$10-$R$10&lt;=$D153,$R153,0),"")</f>
        <v/>
      </c>
      <c r="S208" s="14" t="str">
        <f>IF(T$8=1,IF($C153&gt;0,IF(T$10-$E$10&lt;=$D153,$E153,0)+IF(T$10-$F$10&lt;=$D153,$F153,0)+IF(T$10-$G$10&lt;=$D153,$G153,0)+IF(T$10-$H$10&lt;=$D153,$H153,0)+IF(T$10-$I$10&lt;=$D153,$I153,0)+IF(T$10-$J$10&lt;=$D153,$J153,0)+IF(T$10-$K$10&lt;=$D153,$K153,0)+IF(T$10-$L$10&lt;=$D153,$L153,0),0)+IF(T$10-$M$10&lt;=$D153,$M153,0)+IF(T$10-$N$10&lt;=$D153,$N153,0)+IF(T$10-$O$10&lt;=$D153,$O153,0)+IF(T$10-$P$10&lt;=$D153,$P153,0)+IF(T$10-$Q$10&lt;=$D153,$Q153,0)+IF(T$10-$R$10&lt;=$D153,$R153,0)+IF(T$10-$S$10&lt;=$D153,$S153,0),"")</f>
        <v/>
      </c>
    </row>
    <row r="209" spans="2:22">
      <c r="B209" s="50" t="str">
        <f>B154</f>
        <v>Eq. Transporte 2</v>
      </c>
      <c r="C209" s="51" t="str">
        <f>IF(C154&gt;0,C154,"")</f>
        <v/>
      </c>
      <c r="D209" s="39"/>
      <c r="E209" s="14">
        <f>IF(F$8=1,IF($C154&gt;0,IF(F$10-$E$10&lt;=$D154,$E154,0),0),"")</f>
        <v>0</v>
      </c>
      <c r="F209" s="14">
        <f>IF(G$8=1,IF($C154&gt;0,IF(G$10-$E$10&lt;=$D154,$E154,0)+IF(G$10-$F$10&lt;=$D154,$F154,0),0),"")</f>
        <v>0</v>
      </c>
      <c r="G209" s="14" t="str">
        <f>IF(H$8=1,IF($C154&gt;0,IF(H$10-$E$10&lt;=$D154,$E154,0)+IF(H$10-$F$10&lt;=$D154,$F154,0)+IF(H$10-$G$10&lt;=$D154,$G154,0),0),"")</f>
        <v/>
      </c>
      <c r="H209" s="14" t="str">
        <f>IF(I$8=1,IF($C154&gt;0,IF(I$10-$E$10&lt;=$D154,$E154,0)+IF(I$10-$F$10&lt;=$D154,$F154,0)+IF(I$10-$G$10&lt;=$D154,$G154,0)+IF(I$10-$H$10&lt;=$D154,$H154,0),0),"")</f>
        <v/>
      </c>
      <c r="I209" s="14" t="str">
        <f>IF(J$8=1,IF($C154&gt;0,IF(J$10-$E$10&lt;=$D154,$E154,0)+IF(J$10-$F$10&lt;=$D154,$F154,0)+IF(J$10-$G$10&lt;=$D154,$G154,0)+IF(J$10-$H$10&lt;=$D154,$H154,0)+IF(J$10-$I$10&lt;=$D154,$I154,0),0),"")</f>
        <v/>
      </c>
      <c r="J209" s="14" t="str">
        <f>IF(K$8=1,IF($C154&gt;0,IF(K$10-$E$10&lt;=$D154,$E154,0)+IF(K$10-$F$10&lt;=$D154,$F154,0)+IF(K$10-$G$10&lt;=$D154,$G154,0)+IF(K$10-$H$10&lt;=$D154,$H154,0)+IF(K$10-$I$10&lt;=$D154,$I154,0)+IF(K$10-$J$10&lt;=$D154,$J154,0),0),"")</f>
        <v/>
      </c>
      <c r="K209" s="14" t="str">
        <f>IF(L$8=1,IF($C154&gt;0,IF(L$10-$E$10&lt;=$D154,$E154,0)+IF(L$10-$F$10&lt;=$D154,$F154,0)+IF(L$10-$G$10&lt;=$D154,$G154,0)+IF(L$10-$H$10&lt;=$D154,$H154,0)+IF(L$10-$I$10&lt;=$D154,$I154,0)+IF(L$10-$J$10&lt;=$D154,$J154,0)+IF(L$10-$K$10&lt;=$D154,$K154,0),0),"")</f>
        <v/>
      </c>
      <c r="L209" s="14" t="str">
        <f>IF(M$8=1,IF($C154&gt;0,IF(M$10-$E$10&lt;=$D154,$E154,0)+IF(M$10-$F$10&lt;=$D154,$F154,0)+IF(M$10-$G$10&lt;=$D154,$G154,0)+IF(M$10-$H$10&lt;=$D154,$H154,0)+IF(M$10-$I$10&lt;=$D154,$I154,0)+IF(M$10-$J$10&lt;=$D154,$J154,0)+IF(M$10-$K$10&lt;=$D154,$K154,0)+IF(M$10-$L$10&lt;=$D154,$L154,0),0),"")</f>
        <v/>
      </c>
      <c r="M209" s="14" t="str">
        <f>IF(N$8=1,IF($C154&gt;0,IF(N$10-$E$10&lt;=$D154,$E154,0)+IF(N$10-$F$10&lt;=$D154,$F154,0)+IF(N$10-$G$10&lt;=$D154,$G154,0)+IF(N$10-$H$10&lt;=$D154,$H154,0)+IF(N$10-$I$10&lt;=$D154,$I154,0)+IF(N$10-$J$10&lt;=$D154,$J154,0)+IF(N$10-$K$10&lt;=$D154,$K154,0)+IF(N$10-$L$10&lt;=$D154,$L154,0),0)+IF(N$10-$M$10&lt;=$D154,$M154,0),"")</f>
        <v/>
      </c>
      <c r="N209" s="14" t="str">
        <f>IF(O$8=1,IF($C154&gt;0,IF(O$10-$E$10&lt;=$D154,$E154,0)+IF(O$10-$F$10&lt;=$D154,$F154,0)+IF(O$10-$G$10&lt;=$D154,$G154,0)+IF(O$10-$H$10&lt;=$D154,$H154,0)+IF(O$10-$I$10&lt;=$D154,$I154,0)+IF(O$10-$J$10&lt;=$D154,$J154,0)+IF(O$10-$K$10&lt;=$D154,$K154,0)+IF(O$10-$L$10&lt;=$D154,$L154,0),0)+IF(O$10-$M$10&lt;=$D154,$M154,0)+IF(O$10-$N$10&lt;=$D154,$N154,0),"")</f>
        <v/>
      </c>
      <c r="O209" s="14" t="str">
        <f>IF(P$8=1,IF($C154&gt;0,IF(P$10-$E$10&lt;=$D154,$E154,0)+IF(P$10-$F$10&lt;=$D154,$F154,0)+IF(P$10-$G$10&lt;=$D154,$G154,0)+IF(P$10-$H$10&lt;=$D154,$H154,0)+IF(P$10-$I$10&lt;=$D154,$I154,0)+IF(P$10-$J$10&lt;=$D154,$J154,0)+IF(P$10-$K$10&lt;=$D154,$K154,0)+IF(P$10-$L$10&lt;=$D154,$L154,0),0)+IF(P$10-$M$10&lt;=$D154,$M154,0)+IF(P$10-$N$10&lt;=$D154,$N154,0)+IF(P$10-$O$10&lt;=$D154,$O154,0),"")</f>
        <v/>
      </c>
      <c r="P209" s="14" t="str">
        <f>IF(Q$8=1,IF($C154&gt;0,IF(Q$10-$E$10&lt;=$D154,$E154,0)+IF(Q$10-$F$10&lt;=$D154,$F154,0)+IF(Q$10-$G$10&lt;=$D154,$G154,0)+IF(Q$10-$H$10&lt;=$D154,$H154,0)+IF(Q$10-$I$10&lt;=$D154,$I154,0)+IF(Q$10-$J$10&lt;=$D154,$J154,0)+IF(Q$10-$K$10&lt;=$D154,$K154,0)+IF(Q$10-$L$10&lt;=$D154,$L154,0),0)+IF(Q$10-$M$10&lt;=$D154,$M154,0)+IF(Q$10-$N$10&lt;=$D154,$N154,0)+IF(Q$10-$O$10&lt;=$D154,$O154,0)+IF(Q$10-$P$10&lt;=$D154,$P154,0),"")</f>
        <v/>
      </c>
      <c r="Q209" s="14" t="str">
        <f>IF(R$8=1,IF($C154&gt;0,IF(R$10-$E$10&lt;=$D154,$E154,0)+IF(R$10-$F$10&lt;=$D154,$F154,0)+IF(R$10-$G$10&lt;=$D154,$G154,0)+IF(R$10-$H$10&lt;=$D154,$H154,0)+IF(R$10-$I$10&lt;=$D154,$I154,0)+IF(R$10-$J$10&lt;=$D154,$J154,0)+IF(R$10-$K$10&lt;=$D154,$K154,0)+IF(R$10-$L$10&lt;=$D154,$L154,0),0)+IF(R$10-$M$10&lt;=$D154,$M154,0)+IF(R$10-$N$10&lt;=$D154,$N154,0)+IF(R$10-$O$10&lt;=$D154,$O154,0)+IF(R$10-$P$10&lt;=$D154,$P154,0)+IF(R$10-$Q$10&lt;=$D154,$Q154,0),"")</f>
        <v/>
      </c>
      <c r="R209" s="14" t="str">
        <f>IF(S$8=1,IF($C154&gt;0,IF(S$10-$E$10&lt;=$D154,$E154,0)+IF(S$10-$F$10&lt;=$D154,$F154,0)+IF(S$10-$G$10&lt;=$D154,$G154,0)+IF(S$10-$H$10&lt;=$D154,$H154,0)+IF(S$10-$I$10&lt;=$D154,$I154,0)+IF(S$10-$J$10&lt;=$D154,$J154,0)+IF(S$10-$K$10&lt;=$D154,$K154,0)+IF(S$10-$L$10&lt;=$D154,$L154,0),0)+IF(S$10-$M$10&lt;=$D154,$M154,0)+IF(S$10-$N$10&lt;=$D154,$N154,0)+IF(S$10-$O$10&lt;=$D154,$O154,0)+IF(S$10-$P$10&lt;=$D154,$P154,0)+IF(S$10-$Q$10&lt;=$D154,$Q154,0)+IF(S$10-$R$10&lt;=$D154,$R154,0),"")</f>
        <v/>
      </c>
      <c r="S209" s="14" t="str">
        <f>IF(T$8=1,IF($C154&gt;0,IF(T$10-$E$10&lt;=$D154,$E154,0)+IF(T$10-$F$10&lt;=$D154,$F154,0)+IF(T$10-$G$10&lt;=$D154,$G154,0)+IF(T$10-$H$10&lt;=$D154,$H154,0)+IF(T$10-$I$10&lt;=$D154,$I154,0)+IF(T$10-$J$10&lt;=$D154,$J154,0)+IF(T$10-$K$10&lt;=$D154,$K154,0)+IF(T$10-$L$10&lt;=$D154,$L154,0),0)+IF(T$10-$M$10&lt;=$D154,$M154,0)+IF(T$10-$N$10&lt;=$D154,$N154,0)+IF(T$10-$O$10&lt;=$D154,$O154,0)+IF(T$10-$P$10&lt;=$D154,$P154,0)+IF(T$10-$Q$10&lt;=$D154,$Q154,0)+IF(T$10-$R$10&lt;=$D154,$R154,0)+IF(T$10-$S$10&lt;=$D154,$S154,0),"")</f>
        <v/>
      </c>
    </row>
    <row r="210" spans="2:22">
      <c r="B210" s="50" t="str">
        <f>B155</f>
        <v>Eq. Transporte 3</v>
      </c>
      <c r="C210" s="51" t="str">
        <f>IF(C155&gt;0,C155,"")</f>
        <v/>
      </c>
      <c r="D210" s="39"/>
      <c r="E210" s="14">
        <f>IF(F$8=1,IF($C155&gt;0,IF(F$10-$E$10&lt;=$D155,$E155,0),0),"")</f>
        <v>0</v>
      </c>
      <c r="F210" s="14">
        <f>IF(G$8=1,IF($C155&gt;0,IF(G$10-$E$10&lt;=$D155,$E155,0)+IF(G$10-$F$10&lt;=$D155,$F155,0),0),"")</f>
        <v>0</v>
      </c>
      <c r="G210" s="14" t="str">
        <f>IF(H$8=1,IF($C155&gt;0,IF(H$10-$E$10&lt;=$D155,$E155,0)+IF(H$10-$F$10&lt;=$D155,$F155,0)+IF(H$10-$G$10&lt;=$D155,$G155,0),0),"")</f>
        <v/>
      </c>
      <c r="H210" s="14" t="str">
        <f>IF(I$8=1,IF($C155&gt;0,IF(I$10-$E$10&lt;=$D155,$E155,0)+IF(I$10-$F$10&lt;=$D155,$F155,0)+IF(I$10-$G$10&lt;=$D155,$G155,0)+IF(I$10-$H$10&lt;=$D155,$H155,0),0),"")</f>
        <v/>
      </c>
      <c r="I210" s="14" t="str">
        <f>IF(J$8=1,IF($C155&gt;0,IF(J$10-$E$10&lt;=$D155,$E155,0)+IF(J$10-$F$10&lt;=$D155,$F155,0)+IF(J$10-$G$10&lt;=$D155,$G155,0)+IF(J$10-$H$10&lt;=$D155,$H155,0)+IF(J$10-$I$10&lt;=$D155,$I155,0),0),"")</f>
        <v/>
      </c>
      <c r="J210" s="14" t="str">
        <f>IF(K$8=1,IF($C155&gt;0,IF(K$10-$E$10&lt;=$D155,$E155,0)+IF(K$10-$F$10&lt;=$D155,$F155,0)+IF(K$10-$G$10&lt;=$D155,$G155,0)+IF(K$10-$H$10&lt;=$D155,$H155,0)+IF(K$10-$I$10&lt;=$D155,$I155,0)+IF(K$10-$J$10&lt;=$D155,$J155,0),0),"")</f>
        <v/>
      </c>
      <c r="K210" s="14" t="str">
        <f>IF(L$8=1,IF($C155&gt;0,IF(L$10-$E$10&lt;=$D155,$E155,0)+IF(L$10-$F$10&lt;=$D155,$F155,0)+IF(L$10-$G$10&lt;=$D155,$G155,0)+IF(L$10-$H$10&lt;=$D155,$H155,0)+IF(L$10-$I$10&lt;=$D155,$I155,0)+IF(L$10-$J$10&lt;=$D155,$J155,0)+IF(L$10-$K$10&lt;=$D155,$K155,0),0),"")</f>
        <v/>
      </c>
      <c r="L210" s="14" t="str">
        <f>IF(M$8=1,IF($C155&gt;0,IF(M$10-$E$10&lt;=$D155,$E155,0)+IF(M$10-$F$10&lt;=$D155,$F155,0)+IF(M$10-$G$10&lt;=$D155,$G155,0)+IF(M$10-$H$10&lt;=$D155,$H155,0)+IF(M$10-$I$10&lt;=$D155,$I155,0)+IF(M$10-$J$10&lt;=$D155,$J155,0)+IF(M$10-$K$10&lt;=$D155,$K155,0)+IF(M$10-$L$10&lt;=$D155,$L155,0),0),"")</f>
        <v/>
      </c>
      <c r="M210" s="14" t="str">
        <f>IF(N$8=1,IF($C155&gt;0,IF(N$10-$E$10&lt;=$D155,$E155,0)+IF(N$10-$F$10&lt;=$D155,$F155,0)+IF(N$10-$G$10&lt;=$D155,$G155,0)+IF(N$10-$H$10&lt;=$D155,$H155,0)+IF(N$10-$I$10&lt;=$D155,$I155,0)+IF(N$10-$J$10&lt;=$D155,$J155,0)+IF(N$10-$K$10&lt;=$D155,$K155,0)+IF(N$10-$L$10&lt;=$D155,$L155,0),0)+IF(N$10-$M$10&lt;=$D155,$M155,0),"")</f>
        <v/>
      </c>
      <c r="N210" s="14" t="str">
        <f>IF(O$8=1,IF($C155&gt;0,IF(O$10-$E$10&lt;=$D155,$E155,0)+IF(O$10-$F$10&lt;=$D155,$F155,0)+IF(O$10-$G$10&lt;=$D155,$G155,0)+IF(O$10-$H$10&lt;=$D155,$H155,0)+IF(O$10-$I$10&lt;=$D155,$I155,0)+IF(O$10-$J$10&lt;=$D155,$J155,0)+IF(O$10-$K$10&lt;=$D155,$K155,0)+IF(O$10-$L$10&lt;=$D155,$L155,0),0)+IF(O$10-$M$10&lt;=$D155,$M155,0)+IF(O$10-$N$10&lt;=$D155,$N155,0),"")</f>
        <v/>
      </c>
      <c r="O210" s="14" t="str">
        <f>IF(P$8=1,IF($C155&gt;0,IF(P$10-$E$10&lt;=$D155,$E155,0)+IF(P$10-$F$10&lt;=$D155,$F155,0)+IF(P$10-$G$10&lt;=$D155,$G155,0)+IF(P$10-$H$10&lt;=$D155,$H155,0)+IF(P$10-$I$10&lt;=$D155,$I155,0)+IF(P$10-$J$10&lt;=$D155,$J155,0)+IF(P$10-$K$10&lt;=$D155,$K155,0)+IF(P$10-$L$10&lt;=$D155,$L155,0),0)+IF(P$10-$M$10&lt;=$D155,$M155,0)+IF(P$10-$N$10&lt;=$D155,$N155,0)+IF(P$10-$O$10&lt;=$D155,$O155,0),"")</f>
        <v/>
      </c>
      <c r="P210" s="14" t="str">
        <f>IF(Q$8=1,IF($C155&gt;0,IF(Q$10-$E$10&lt;=$D155,$E155,0)+IF(Q$10-$F$10&lt;=$D155,$F155,0)+IF(Q$10-$G$10&lt;=$D155,$G155,0)+IF(Q$10-$H$10&lt;=$D155,$H155,0)+IF(Q$10-$I$10&lt;=$D155,$I155,0)+IF(Q$10-$J$10&lt;=$D155,$J155,0)+IF(Q$10-$K$10&lt;=$D155,$K155,0)+IF(Q$10-$L$10&lt;=$D155,$L155,0),0)+IF(Q$10-$M$10&lt;=$D155,$M155,0)+IF(Q$10-$N$10&lt;=$D155,$N155,0)+IF(Q$10-$O$10&lt;=$D155,$O155,0)+IF(Q$10-$P$10&lt;=$D155,$P155,0),"")</f>
        <v/>
      </c>
      <c r="Q210" s="14" t="str">
        <f>IF(R$8=1,IF($C155&gt;0,IF(R$10-$E$10&lt;=$D155,$E155,0)+IF(R$10-$F$10&lt;=$D155,$F155,0)+IF(R$10-$G$10&lt;=$D155,$G155,0)+IF(R$10-$H$10&lt;=$D155,$H155,0)+IF(R$10-$I$10&lt;=$D155,$I155,0)+IF(R$10-$J$10&lt;=$D155,$J155,0)+IF(R$10-$K$10&lt;=$D155,$K155,0)+IF(R$10-$L$10&lt;=$D155,$L155,0),0)+IF(R$10-$M$10&lt;=$D155,$M155,0)+IF(R$10-$N$10&lt;=$D155,$N155,0)+IF(R$10-$O$10&lt;=$D155,$O155,0)+IF(R$10-$P$10&lt;=$D155,$P155,0)+IF(R$10-$Q$10&lt;=$D155,$Q155,0),"")</f>
        <v/>
      </c>
      <c r="R210" s="14" t="str">
        <f>IF(S$8=1,IF($C155&gt;0,IF(S$10-$E$10&lt;=$D155,$E155,0)+IF(S$10-$F$10&lt;=$D155,$F155,0)+IF(S$10-$G$10&lt;=$D155,$G155,0)+IF(S$10-$H$10&lt;=$D155,$H155,0)+IF(S$10-$I$10&lt;=$D155,$I155,0)+IF(S$10-$J$10&lt;=$D155,$J155,0)+IF(S$10-$K$10&lt;=$D155,$K155,0)+IF(S$10-$L$10&lt;=$D155,$L155,0),0)+IF(S$10-$M$10&lt;=$D155,$M155,0)+IF(S$10-$N$10&lt;=$D155,$N155,0)+IF(S$10-$O$10&lt;=$D155,$O155,0)+IF(S$10-$P$10&lt;=$D155,$P155,0)+IF(S$10-$Q$10&lt;=$D155,$Q155,0)+IF(S$10-$R$10&lt;=$D155,$R155,0),"")</f>
        <v/>
      </c>
      <c r="S210" s="14" t="str">
        <f>IF(T$8=1,IF($C155&gt;0,IF(T$10-$E$10&lt;=$D155,$E155,0)+IF(T$10-$F$10&lt;=$D155,$F155,0)+IF(T$10-$G$10&lt;=$D155,$G155,0)+IF(T$10-$H$10&lt;=$D155,$H155,0)+IF(T$10-$I$10&lt;=$D155,$I155,0)+IF(T$10-$J$10&lt;=$D155,$J155,0)+IF(T$10-$K$10&lt;=$D155,$K155,0)+IF(T$10-$L$10&lt;=$D155,$L155,0),0)+IF(T$10-$M$10&lt;=$D155,$M155,0)+IF(T$10-$N$10&lt;=$D155,$N155,0)+IF(T$10-$O$10&lt;=$D155,$O155,0)+IF(T$10-$P$10&lt;=$D155,$P155,0)+IF(T$10-$Q$10&lt;=$D155,$Q155,0)+IF(T$10-$R$10&lt;=$D155,$R155,0)+IF(T$10-$S$10&lt;=$D155,$S155,0),"")</f>
        <v/>
      </c>
    </row>
    <row r="211" spans="2:22">
      <c r="B211" s="50" t="str">
        <f>B156</f>
        <v>Eq. Transporte 4</v>
      </c>
      <c r="C211" s="51" t="str">
        <f>IF(C156&gt;0,C156,"")</f>
        <v/>
      </c>
      <c r="D211" s="39"/>
      <c r="E211" s="14">
        <f>IF(F$8=1,IF($C156&gt;0,IF(F$10-$E$10&lt;=$D156,$E156,0),0),"")</f>
        <v>0</v>
      </c>
      <c r="F211" s="14">
        <f>IF(G$8=1,IF($C156&gt;0,IF(G$10-$E$10&lt;=$D156,$E156,0)+IF(G$10-$F$10&lt;=$D156,$F156,0),0),"")</f>
        <v>0</v>
      </c>
      <c r="G211" s="14" t="str">
        <f>IF(H$8=1,IF($C156&gt;0,IF(H$10-$E$10&lt;=$D156,$E156,0)+IF(H$10-$F$10&lt;=$D156,$F156,0)+IF(H$10-$G$10&lt;=$D156,$G156,0),0),"")</f>
        <v/>
      </c>
      <c r="H211" s="14" t="str">
        <f>IF(I$8=1,IF($C156&gt;0,IF(I$10-$E$10&lt;=$D156,$E156,0)+IF(I$10-$F$10&lt;=$D156,$F156,0)+IF(I$10-$G$10&lt;=$D156,$G156,0)+IF(I$10-$H$10&lt;=$D156,$H156,0),0),"")</f>
        <v/>
      </c>
      <c r="I211" s="14" t="str">
        <f>IF(J$8=1,IF($C156&gt;0,IF(J$10-$E$10&lt;=$D156,$E156,0)+IF(J$10-$F$10&lt;=$D156,$F156,0)+IF(J$10-$G$10&lt;=$D156,$G156,0)+IF(J$10-$H$10&lt;=$D156,$H156,0)+IF(J$10-$I$10&lt;=$D156,$I156,0),0),"")</f>
        <v/>
      </c>
      <c r="J211" s="14" t="str">
        <f>IF(K$8=1,IF($C156&gt;0,IF(K$10-$E$10&lt;=$D156,$E156,0)+IF(K$10-$F$10&lt;=$D156,$F156,0)+IF(K$10-$G$10&lt;=$D156,$G156,0)+IF(K$10-$H$10&lt;=$D156,$H156,0)+IF(K$10-$I$10&lt;=$D156,$I156,0)+IF(K$10-$J$10&lt;=$D156,$J156,0),0),"")</f>
        <v/>
      </c>
      <c r="K211" s="14" t="str">
        <f>IF(L$8=1,IF($C156&gt;0,IF(L$10-$E$10&lt;=$D156,$E156,0)+IF(L$10-$F$10&lt;=$D156,$F156,0)+IF(L$10-$G$10&lt;=$D156,$G156,0)+IF(L$10-$H$10&lt;=$D156,$H156,0)+IF(L$10-$I$10&lt;=$D156,$I156,0)+IF(L$10-$J$10&lt;=$D156,$J156,0)+IF(L$10-$K$10&lt;=$D156,$K156,0),0),"")</f>
        <v/>
      </c>
      <c r="L211" s="14" t="str">
        <f>IF(M$8=1,IF($C156&gt;0,IF(M$10-$E$10&lt;=$D156,$E156,0)+IF(M$10-$F$10&lt;=$D156,$F156,0)+IF(M$10-$G$10&lt;=$D156,$G156,0)+IF(M$10-$H$10&lt;=$D156,$H156,0)+IF(M$10-$I$10&lt;=$D156,$I156,0)+IF(M$10-$J$10&lt;=$D156,$J156,0)+IF(M$10-$K$10&lt;=$D156,$K156,0)+IF(M$10-$L$10&lt;=$D156,$L156,0),0),"")</f>
        <v/>
      </c>
      <c r="M211" s="14" t="str">
        <f>IF(N$8=1,IF($C156&gt;0,IF(N$10-$E$10&lt;=$D156,$E156,0)+IF(N$10-$F$10&lt;=$D156,$F156,0)+IF(N$10-$G$10&lt;=$D156,$G156,0)+IF(N$10-$H$10&lt;=$D156,$H156,0)+IF(N$10-$I$10&lt;=$D156,$I156,0)+IF(N$10-$J$10&lt;=$D156,$J156,0)+IF(N$10-$K$10&lt;=$D156,$K156,0)+IF(N$10-$L$10&lt;=$D156,$L156,0),0)+IF(N$10-$M$10&lt;=$D156,$M156,0),"")</f>
        <v/>
      </c>
      <c r="N211" s="14" t="str">
        <f>IF(O$8=1,IF($C156&gt;0,IF(O$10-$E$10&lt;=$D156,$E156,0)+IF(O$10-$F$10&lt;=$D156,$F156,0)+IF(O$10-$G$10&lt;=$D156,$G156,0)+IF(O$10-$H$10&lt;=$D156,$H156,0)+IF(O$10-$I$10&lt;=$D156,$I156,0)+IF(O$10-$J$10&lt;=$D156,$J156,0)+IF(O$10-$K$10&lt;=$D156,$K156,0)+IF(O$10-$L$10&lt;=$D156,$L156,0),0)+IF(O$10-$M$10&lt;=$D156,$M156,0)+IF(O$10-$N$10&lt;=$D156,$N156,0),"")</f>
        <v/>
      </c>
      <c r="O211" s="14" t="str">
        <f>IF(P$8=1,IF($C156&gt;0,IF(P$10-$E$10&lt;=$D156,$E156,0)+IF(P$10-$F$10&lt;=$D156,$F156,0)+IF(P$10-$G$10&lt;=$D156,$G156,0)+IF(P$10-$H$10&lt;=$D156,$H156,0)+IF(P$10-$I$10&lt;=$D156,$I156,0)+IF(P$10-$J$10&lt;=$D156,$J156,0)+IF(P$10-$K$10&lt;=$D156,$K156,0)+IF(P$10-$L$10&lt;=$D156,$L156,0),0)+IF(P$10-$M$10&lt;=$D156,$M156,0)+IF(P$10-$N$10&lt;=$D156,$N156,0)+IF(P$10-$O$10&lt;=$D156,$O156,0),"")</f>
        <v/>
      </c>
      <c r="P211" s="14" t="str">
        <f>IF(Q$8=1,IF($C156&gt;0,IF(Q$10-$E$10&lt;=$D156,$E156,0)+IF(Q$10-$F$10&lt;=$D156,$F156,0)+IF(Q$10-$G$10&lt;=$D156,$G156,0)+IF(Q$10-$H$10&lt;=$D156,$H156,0)+IF(Q$10-$I$10&lt;=$D156,$I156,0)+IF(Q$10-$J$10&lt;=$D156,$J156,0)+IF(Q$10-$K$10&lt;=$D156,$K156,0)+IF(Q$10-$L$10&lt;=$D156,$L156,0),0)+IF(Q$10-$M$10&lt;=$D156,$M156,0)+IF(Q$10-$N$10&lt;=$D156,$N156,0)+IF(Q$10-$O$10&lt;=$D156,$O156,0)+IF(Q$10-$P$10&lt;=$D156,$P156,0),"")</f>
        <v/>
      </c>
      <c r="Q211" s="14" t="str">
        <f>IF(R$8=1,IF($C156&gt;0,IF(R$10-$E$10&lt;=$D156,$E156,0)+IF(R$10-$F$10&lt;=$D156,$F156,0)+IF(R$10-$G$10&lt;=$D156,$G156,0)+IF(R$10-$H$10&lt;=$D156,$H156,0)+IF(R$10-$I$10&lt;=$D156,$I156,0)+IF(R$10-$J$10&lt;=$D156,$J156,0)+IF(R$10-$K$10&lt;=$D156,$K156,0)+IF(R$10-$L$10&lt;=$D156,$L156,0),0)+IF(R$10-$M$10&lt;=$D156,$M156,0)+IF(R$10-$N$10&lt;=$D156,$N156,0)+IF(R$10-$O$10&lt;=$D156,$O156,0)+IF(R$10-$P$10&lt;=$D156,$P156,0)+IF(R$10-$Q$10&lt;=$D156,$Q156,0),"")</f>
        <v/>
      </c>
      <c r="R211" s="14" t="str">
        <f>IF(S$8=1,IF($C156&gt;0,IF(S$10-$E$10&lt;=$D156,$E156,0)+IF(S$10-$F$10&lt;=$D156,$F156,0)+IF(S$10-$G$10&lt;=$D156,$G156,0)+IF(S$10-$H$10&lt;=$D156,$H156,0)+IF(S$10-$I$10&lt;=$D156,$I156,0)+IF(S$10-$J$10&lt;=$D156,$J156,0)+IF(S$10-$K$10&lt;=$D156,$K156,0)+IF(S$10-$L$10&lt;=$D156,$L156,0),0)+IF(S$10-$M$10&lt;=$D156,$M156,0)+IF(S$10-$N$10&lt;=$D156,$N156,0)+IF(S$10-$O$10&lt;=$D156,$O156,0)+IF(S$10-$P$10&lt;=$D156,$P156,0)+IF(S$10-$Q$10&lt;=$D156,$Q156,0)+IF(S$10-$R$10&lt;=$D156,$R156,0),"")</f>
        <v/>
      </c>
      <c r="S211" s="14" t="str">
        <f>IF(T$8=1,IF($C156&gt;0,IF(T$10-$E$10&lt;=$D156,$E156,0)+IF(T$10-$F$10&lt;=$D156,$F156,0)+IF(T$10-$G$10&lt;=$D156,$G156,0)+IF(T$10-$H$10&lt;=$D156,$H156,0)+IF(T$10-$I$10&lt;=$D156,$I156,0)+IF(T$10-$J$10&lt;=$D156,$J156,0)+IF(T$10-$K$10&lt;=$D156,$K156,0)+IF(T$10-$L$10&lt;=$D156,$L156,0),0)+IF(T$10-$M$10&lt;=$D156,$M156,0)+IF(T$10-$N$10&lt;=$D156,$N156,0)+IF(T$10-$O$10&lt;=$D156,$O156,0)+IF(T$10-$P$10&lt;=$D156,$P156,0)+IF(T$10-$Q$10&lt;=$D156,$Q156,0)+IF(T$10-$R$10&lt;=$D156,$R156,0)+IF(T$10-$S$10&lt;=$D156,$S156,0),"")</f>
        <v/>
      </c>
    </row>
    <row r="212" spans="2:22">
      <c r="B212" s="21" t="s">
        <v>95</v>
      </c>
      <c r="C212" s="39"/>
      <c r="D212" s="39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2:22">
      <c r="B213" s="50" t="str">
        <f>B158</f>
        <v>Eq. Administrativo 1</v>
      </c>
      <c r="C213" s="51">
        <f>IF(C158&gt;0,C158,"")</f>
        <v>0.125</v>
      </c>
      <c r="D213" s="39"/>
      <c r="E213" s="14">
        <f>IF(F$8=1,IF($C158&gt;0,IF(F$10-$E$10&lt;=$D158,$E158,0),0),"")</f>
        <v>12000</v>
      </c>
      <c r="F213" s="14">
        <f>IF(G$8=1,IF($C158&gt;0,IF(G$10-$E$10&lt;=$D158,$E158,0)+IF(G$10-$F$10&lt;=$D158,$F158,0),0),"")</f>
        <v>12000</v>
      </c>
      <c r="G213" s="14" t="str">
        <f>IF(H$8=1,IF($C158&gt;0,IF(H$10-$E$10&lt;=$D158,$E158,0)+IF(H$10-$F$10&lt;=$D158,$F158,0)+IF(H$10-$G$10&lt;=$D158,$G158,0),0),"")</f>
        <v/>
      </c>
      <c r="H213" s="14" t="str">
        <f>IF(I$8=1,IF($C158&gt;0,IF(I$10-$E$10&lt;=$D158,$E158,0)+IF(I$10-$F$10&lt;=$D158,$F158,0)+IF(I$10-$G$10&lt;=$D158,$G158,0)+IF(I$10-$H$10&lt;=$D158,$H158,0),0),"")</f>
        <v/>
      </c>
      <c r="I213" s="14" t="str">
        <f>IF(J$8=1,IF($C158&gt;0,IF(J$10-$E$10&lt;=$D158,$E158,0)+IF(J$10-$F$10&lt;=$D158,$F158,0)+IF(J$10-$G$10&lt;=$D158,$G158,0)+IF(J$10-$H$10&lt;=$D158,$H158,0)+IF(J$10-$I$10&lt;=$D158,$I158,0),0),"")</f>
        <v/>
      </c>
      <c r="J213" s="14" t="str">
        <f>IF(K$8=1,IF($C158&gt;0,IF(K$10-$E$10&lt;=$D158,$E158,0)+IF(K$10-$F$10&lt;=$D158,$F158,0)+IF(K$10-$G$10&lt;=$D158,$G158,0)+IF(K$10-$H$10&lt;=$D158,$H158,0)+IF(K$10-$I$10&lt;=$D158,$I158,0)+IF(K$10-$J$10&lt;=$D158,$J158,0),0),"")</f>
        <v/>
      </c>
      <c r="K213" s="14" t="str">
        <f>IF(L$8=1,IF($C158&gt;0,IF(L$10-$E$10&lt;=$D158,$E158,0)+IF(L$10-$F$10&lt;=$D158,$F158,0)+IF(L$10-$G$10&lt;=$D158,$G158,0)+IF(L$10-$H$10&lt;=$D158,$H158,0)+IF(L$10-$I$10&lt;=$D158,$I158,0)+IF(L$10-$J$10&lt;=$D158,$J158,0)+IF(L$10-$K$10&lt;=$D158,$K158,0),0),"")</f>
        <v/>
      </c>
      <c r="L213" s="14" t="str">
        <f>IF(M$8=1,IF($C158&gt;0,IF(M$10-$E$10&lt;=$D158,$E158,0)+IF(M$10-$F$10&lt;=$D158,$F158,0)+IF(M$10-$G$10&lt;=$D158,$G158,0)+IF(M$10-$H$10&lt;=$D158,$H158,0)+IF(M$10-$I$10&lt;=$D158,$I158,0)+IF(M$10-$J$10&lt;=$D158,$J158,0)+IF(M$10-$K$10&lt;=$D158,$K158,0)+IF(M$10-$L$10&lt;=$D158,$L158,0),0),"")</f>
        <v/>
      </c>
      <c r="M213" s="14" t="str">
        <f>IF(N$8=1,IF($C158&gt;0,IF(N$10-$E$10&lt;=$D158,$E158,0)+IF(N$10-$F$10&lt;=$D158,$F158,0)+IF(N$10-$G$10&lt;=$D158,$G158,0)+IF(N$10-$H$10&lt;=$D158,$H158,0)+IF(N$10-$I$10&lt;=$D158,$I158,0)+IF(N$10-$J$10&lt;=$D158,$J158,0)+IF(N$10-$K$10&lt;=$D158,$K158,0)+IF(N$10-$L$10&lt;=$D158,$L158,0),0)+IF(N$10-$M$10&lt;=$D158,$M158,0),"")</f>
        <v/>
      </c>
      <c r="N213" s="14" t="str">
        <f>IF(O$8=1,IF($C158&gt;0,IF(O$10-$E$10&lt;=$D158,$E158,0)+IF(O$10-$F$10&lt;=$D158,$F158,0)+IF(O$10-$G$10&lt;=$D158,$G158,0)+IF(O$10-$H$10&lt;=$D158,$H158,0)+IF(O$10-$I$10&lt;=$D158,$I158,0)+IF(O$10-$J$10&lt;=$D158,$J158,0)+IF(O$10-$K$10&lt;=$D158,$K158,0)+IF(O$10-$L$10&lt;=$D158,$L158,0),0)+IF(O$10-$M$10&lt;=$D158,$M158,0)+IF(O$10-$N$10&lt;=$D158,$N158,0),"")</f>
        <v/>
      </c>
      <c r="O213" s="14" t="str">
        <f>IF(P$8=1,IF($C158&gt;0,IF(P$10-$E$10&lt;=$D158,$E158,0)+IF(P$10-$F$10&lt;=$D158,$F158,0)+IF(P$10-$G$10&lt;=$D158,$G158,0)+IF(P$10-$H$10&lt;=$D158,$H158,0)+IF(P$10-$I$10&lt;=$D158,$I158,0)+IF(P$10-$J$10&lt;=$D158,$J158,0)+IF(P$10-$K$10&lt;=$D158,$K158,0)+IF(P$10-$L$10&lt;=$D158,$L158,0),0)+IF(P$10-$M$10&lt;=$D158,$M158,0)+IF(P$10-$N$10&lt;=$D158,$N158,0)+IF(P$10-$O$10&lt;=$D158,$O158,0),"")</f>
        <v/>
      </c>
      <c r="P213" s="14" t="str">
        <f>IF(Q$8=1,IF($C158&gt;0,IF(Q$10-$E$10&lt;=$D158,$E158,0)+IF(Q$10-$F$10&lt;=$D158,$F158,0)+IF(Q$10-$G$10&lt;=$D158,$G158,0)+IF(Q$10-$H$10&lt;=$D158,$H158,0)+IF(Q$10-$I$10&lt;=$D158,$I158,0)+IF(Q$10-$J$10&lt;=$D158,$J158,0)+IF(Q$10-$K$10&lt;=$D158,$K158,0)+IF(Q$10-$L$10&lt;=$D158,$L158,0),0)+IF(Q$10-$M$10&lt;=$D158,$M158,0)+IF(Q$10-$N$10&lt;=$D158,$N158,0)+IF(Q$10-$O$10&lt;=$D158,$O158,0)+IF(Q$10-$P$10&lt;=$D158,$P158,0),"")</f>
        <v/>
      </c>
      <c r="Q213" s="14" t="str">
        <f>IF(R$8=1,IF($C158&gt;0,IF(R$10-$E$10&lt;=$D158,$E158,0)+IF(R$10-$F$10&lt;=$D158,$F158,0)+IF(R$10-$G$10&lt;=$D158,$G158,0)+IF(R$10-$H$10&lt;=$D158,$H158,0)+IF(R$10-$I$10&lt;=$D158,$I158,0)+IF(R$10-$J$10&lt;=$D158,$J158,0)+IF(R$10-$K$10&lt;=$D158,$K158,0)+IF(R$10-$L$10&lt;=$D158,$L158,0),0)+IF(R$10-$M$10&lt;=$D158,$M158,0)+IF(R$10-$N$10&lt;=$D158,$N158,0)+IF(R$10-$O$10&lt;=$D158,$O158,0)+IF(R$10-$P$10&lt;=$D158,$P158,0)+IF(R$10-$Q$10&lt;=$D158,$Q158,0),"")</f>
        <v/>
      </c>
      <c r="R213" s="14" t="str">
        <f>IF(S$8=1,IF($C158&gt;0,IF(S$10-$E$10&lt;=$D158,$E158,0)+IF(S$10-$F$10&lt;=$D158,$F158,0)+IF(S$10-$G$10&lt;=$D158,$G158,0)+IF(S$10-$H$10&lt;=$D158,$H158,0)+IF(S$10-$I$10&lt;=$D158,$I158,0)+IF(S$10-$J$10&lt;=$D158,$J158,0)+IF(S$10-$K$10&lt;=$D158,$K158,0)+IF(S$10-$L$10&lt;=$D158,$L158,0),0)+IF(S$10-$M$10&lt;=$D158,$M158,0)+IF(S$10-$N$10&lt;=$D158,$N158,0)+IF(S$10-$O$10&lt;=$D158,$O158,0)+IF(S$10-$P$10&lt;=$D158,$P158,0)+IF(S$10-$Q$10&lt;=$D158,$Q158,0)+IF(S$10-$R$10&lt;=$D158,$R158,0),"")</f>
        <v/>
      </c>
      <c r="S213" s="14" t="str">
        <f>IF(T$8=1,IF($C158&gt;0,IF(T$10-$E$10&lt;=$D158,$E158,0)+IF(T$10-$F$10&lt;=$D158,$F158,0)+IF(T$10-$G$10&lt;=$D158,$G158,0)+IF(T$10-$H$10&lt;=$D158,$H158,0)+IF(T$10-$I$10&lt;=$D158,$I158,0)+IF(T$10-$J$10&lt;=$D158,$J158,0)+IF(T$10-$K$10&lt;=$D158,$K158,0)+IF(T$10-$L$10&lt;=$D158,$L158,0),0)+IF(T$10-$M$10&lt;=$D158,$M158,0)+IF(T$10-$N$10&lt;=$D158,$N158,0)+IF(T$10-$O$10&lt;=$D158,$O158,0)+IF(T$10-$P$10&lt;=$D158,$P158,0)+IF(T$10-$Q$10&lt;=$D158,$Q158,0)+IF(T$10-$R$10&lt;=$D158,$R158,0)+IF(T$10-$S$10&lt;=$D158,$S158,0),"")</f>
        <v/>
      </c>
    </row>
    <row r="214" spans="2:22">
      <c r="B214" s="50" t="str">
        <f>B159</f>
        <v>Eq. Administrativo 2</v>
      </c>
      <c r="C214" s="51" t="str">
        <f>IF(C159&gt;0,C159,"")</f>
        <v/>
      </c>
      <c r="D214" s="39"/>
      <c r="E214" s="14">
        <f>IF(F$8=1,IF($C159&gt;0,IF(F$10-$E$10&lt;=$D159,$E159,0),0),"")</f>
        <v>0</v>
      </c>
      <c r="F214" s="14">
        <f>IF(G$8=1,IF($C159&gt;0,IF(G$10-$E$10&lt;=$D159,$E159,0)+IF(G$10-$F$10&lt;=$D159,$F159,0),0),"")</f>
        <v>0</v>
      </c>
      <c r="G214" s="14" t="str">
        <f>IF(H$8=1,IF($C159&gt;0,IF(H$10-$E$10&lt;=$D159,$E159,0)+IF(H$10-$F$10&lt;=$D159,$F159,0)+IF(H$10-$G$10&lt;=$D159,$G159,0),0),"")</f>
        <v/>
      </c>
      <c r="H214" s="14" t="str">
        <f>IF(I$8=1,IF($C159&gt;0,IF(I$10-$E$10&lt;=$D159,$E159,0)+IF(I$10-$F$10&lt;=$D159,$F159,0)+IF(I$10-$G$10&lt;=$D159,$G159,0)+IF(I$10-$H$10&lt;=$D159,$H159,0),0),"")</f>
        <v/>
      </c>
      <c r="I214" s="14" t="str">
        <f>IF(J$8=1,IF($C159&gt;0,IF(J$10-$E$10&lt;=$D159,$E159,0)+IF(J$10-$F$10&lt;=$D159,$F159,0)+IF(J$10-$G$10&lt;=$D159,$G159,0)+IF(J$10-$H$10&lt;=$D159,$H159,0)+IF(J$10-$I$10&lt;=$D159,$I159,0),0),"")</f>
        <v/>
      </c>
      <c r="J214" s="14" t="str">
        <f>IF(K$8=1,IF($C159&gt;0,IF(K$10-$E$10&lt;=$D159,$E159,0)+IF(K$10-$F$10&lt;=$D159,$F159,0)+IF(K$10-$G$10&lt;=$D159,$G159,0)+IF(K$10-$H$10&lt;=$D159,$H159,0)+IF(K$10-$I$10&lt;=$D159,$I159,0)+IF(K$10-$J$10&lt;=$D159,$J159,0),0),"")</f>
        <v/>
      </c>
      <c r="K214" s="14" t="str">
        <f>IF(L$8=1,IF($C159&gt;0,IF(L$10-$E$10&lt;=$D159,$E159,0)+IF(L$10-$F$10&lt;=$D159,$F159,0)+IF(L$10-$G$10&lt;=$D159,$G159,0)+IF(L$10-$H$10&lt;=$D159,$H159,0)+IF(L$10-$I$10&lt;=$D159,$I159,0)+IF(L$10-$J$10&lt;=$D159,$J159,0)+IF(L$10-$K$10&lt;=$D159,$K159,0),0),"")</f>
        <v/>
      </c>
      <c r="L214" s="14" t="str">
        <f>IF(M$8=1,IF($C159&gt;0,IF(M$10-$E$10&lt;=$D159,$E159,0)+IF(M$10-$F$10&lt;=$D159,$F159,0)+IF(M$10-$G$10&lt;=$D159,$G159,0)+IF(M$10-$H$10&lt;=$D159,$H159,0)+IF(M$10-$I$10&lt;=$D159,$I159,0)+IF(M$10-$J$10&lt;=$D159,$J159,0)+IF(M$10-$K$10&lt;=$D159,$K159,0)+IF(M$10-$L$10&lt;=$D159,$L159,0),0),"")</f>
        <v/>
      </c>
      <c r="M214" s="14" t="str">
        <f>IF(N$8=1,IF($C159&gt;0,IF(N$10-$E$10&lt;=$D159,$E159,0)+IF(N$10-$F$10&lt;=$D159,$F159,0)+IF(N$10-$G$10&lt;=$D159,$G159,0)+IF(N$10-$H$10&lt;=$D159,$H159,0)+IF(N$10-$I$10&lt;=$D159,$I159,0)+IF(N$10-$J$10&lt;=$D159,$J159,0)+IF(N$10-$K$10&lt;=$D159,$K159,0)+IF(N$10-$L$10&lt;=$D159,$L159,0),0)+IF(N$10-$M$10&lt;=$D159,$M159,0),"")</f>
        <v/>
      </c>
      <c r="N214" s="14" t="str">
        <f>IF(O$8=1,IF($C159&gt;0,IF(O$10-$E$10&lt;=$D159,$E159,0)+IF(O$10-$F$10&lt;=$D159,$F159,0)+IF(O$10-$G$10&lt;=$D159,$G159,0)+IF(O$10-$H$10&lt;=$D159,$H159,0)+IF(O$10-$I$10&lt;=$D159,$I159,0)+IF(O$10-$J$10&lt;=$D159,$J159,0)+IF(O$10-$K$10&lt;=$D159,$K159,0)+IF(O$10-$L$10&lt;=$D159,$L159,0),0)+IF(O$10-$M$10&lt;=$D159,$M159,0)+IF(O$10-$N$10&lt;=$D159,$N159,0),"")</f>
        <v/>
      </c>
      <c r="O214" s="14" t="str">
        <f>IF(P$8=1,IF($C159&gt;0,IF(P$10-$E$10&lt;=$D159,$E159,0)+IF(P$10-$F$10&lt;=$D159,$F159,0)+IF(P$10-$G$10&lt;=$D159,$G159,0)+IF(P$10-$H$10&lt;=$D159,$H159,0)+IF(P$10-$I$10&lt;=$D159,$I159,0)+IF(P$10-$J$10&lt;=$D159,$J159,0)+IF(P$10-$K$10&lt;=$D159,$K159,0)+IF(P$10-$L$10&lt;=$D159,$L159,0),0)+IF(P$10-$M$10&lt;=$D159,$M159,0)+IF(P$10-$N$10&lt;=$D159,$N159,0)+IF(P$10-$O$10&lt;=$D159,$O159,0),"")</f>
        <v/>
      </c>
      <c r="P214" s="14" t="str">
        <f>IF(Q$8=1,IF($C159&gt;0,IF(Q$10-$E$10&lt;=$D159,$E159,0)+IF(Q$10-$F$10&lt;=$D159,$F159,0)+IF(Q$10-$G$10&lt;=$D159,$G159,0)+IF(Q$10-$H$10&lt;=$D159,$H159,0)+IF(Q$10-$I$10&lt;=$D159,$I159,0)+IF(Q$10-$J$10&lt;=$D159,$J159,0)+IF(Q$10-$K$10&lt;=$D159,$K159,0)+IF(Q$10-$L$10&lt;=$D159,$L159,0),0)+IF(Q$10-$M$10&lt;=$D159,$M159,0)+IF(Q$10-$N$10&lt;=$D159,$N159,0)+IF(Q$10-$O$10&lt;=$D159,$O159,0)+IF(Q$10-$P$10&lt;=$D159,$P159,0),"")</f>
        <v/>
      </c>
      <c r="Q214" s="14" t="str">
        <f>IF(R$8=1,IF($C159&gt;0,IF(R$10-$E$10&lt;=$D159,$E159,0)+IF(R$10-$F$10&lt;=$D159,$F159,0)+IF(R$10-$G$10&lt;=$D159,$G159,0)+IF(R$10-$H$10&lt;=$D159,$H159,0)+IF(R$10-$I$10&lt;=$D159,$I159,0)+IF(R$10-$J$10&lt;=$D159,$J159,0)+IF(R$10-$K$10&lt;=$D159,$K159,0)+IF(R$10-$L$10&lt;=$D159,$L159,0),0)+IF(R$10-$M$10&lt;=$D159,$M159,0)+IF(R$10-$N$10&lt;=$D159,$N159,0)+IF(R$10-$O$10&lt;=$D159,$O159,0)+IF(R$10-$P$10&lt;=$D159,$P159,0)+IF(R$10-$Q$10&lt;=$D159,$Q159,0),"")</f>
        <v/>
      </c>
      <c r="R214" s="14" t="str">
        <f>IF(S$8=1,IF($C159&gt;0,IF(S$10-$E$10&lt;=$D159,$E159,0)+IF(S$10-$F$10&lt;=$D159,$F159,0)+IF(S$10-$G$10&lt;=$D159,$G159,0)+IF(S$10-$H$10&lt;=$D159,$H159,0)+IF(S$10-$I$10&lt;=$D159,$I159,0)+IF(S$10-$J$10&lt;=$D159,$J159,0)+IF(S$10-$K$10&lt;=$D159,$K159,0)+IF(S$10-$L$10&lt;=$D159,$L159,0),0)+IF(S$10-$M$10&lt;=$D159,$M159,0)+IF(S$10-$N$10&lt;=$D159,$N159,0)+IF(S$10-$O$10&lt;=$D159,$O159,0)+IF(S$10-$P$10&lt;=$D159,$P159,0)+IF(S$10-$Q$10&lt;=$D159,$Q159,0)+IF(S$10-$R$10&lt;=$D159,$R159,0),"")</f>
        <v/>
      </c>
      <c r="S214" s="14" t="str">
        <f>IF(T$8=1,IF($C159&gt;0,IF(T$10-$E$10&lt;=$D159,$E159,0)+IF(T$10-$F$10&lt;=$D159,$F159,0)+IF(T$10-$G$10&lt;=$D159,$G159,0)+IF(T$10-$H$10&lt;=$D159,$H159,0)+IF(T$10-$I$10&lt;=$D159,$I159,0)+IF(T$10-$J$10&lt;=$D159,$J159,0)+IF(T$10-$K$10&lt;=$D159,$K159,0)+IF(T$10-$L$10&lt;=$D159,$L159,0),0)+IF(T$10-$M$10&lt;=$D159,$M159,0)+IF(T$10-$N$10&lt;=$D159,$N159,0)+IF(T$10-$O$10&lt;=$D159,$O159,0)+IF(T$10-$P$10&lt;=$D159,$P159,0)+IF(T$10-$Q$10&lt;=$D159,$Q159,0)+IF(T$10-$R$10&lt;=$D159,$R159,0)+IF(T$10-$S$10&lt;=$D159,$S159,0),"")</f>
        <v/>
      </c>
    </row>
    <row r="215" spans="2:22">
      <c r="B215" s="50" t="str">
        <f>B160</f>
        <v>Eq. Administrativo 3</v>
      </c>
      <c r="C215" s="51" t="str">
        <f>IF(C160&gt;0,C160,"")</f>
        <v/>
      </c>
      <c r="D215" s="39"/>
      <c r="E215" s="14">
        <f>IF(F$8=1,IF($C160&gt;0,IF(F$10-$E$10&lt;=$D160,$E160,0),0),"")</f>
        <v>0</v>
      </c>
      <c r="F215" s="14">
        <f>IF(G$8=1,IF($C160&gt;0,IF(G$10-$E$10&lt;=$D160,$E160,0)+IF(G$10-$F$10&lt;=$D160,$F160,0),0),"")</f>
        <v>0</v>
      </c>
      <c r="G215" s="14" t="str">
        <f>IF(H$8=1,IF($C160&gt;0,IF(H$10-$E$10&lt;=$D160,$E160,0)+IF(H$10-$F$10&lt;=$D160,$F160,0)+IF(H$10-$G$10&lt;=$D160,$G160,0),0),"")</f>
        <v/>
      </c>
      <c r="H215" s="14" t="str">
        <f>IF(I$8=1,IF($C160&gt;0,IF(I$10-$E$10&lt;=$D160,$E160,0)+IF(I$10-$F$10&lt;=$D160,$F160,0)+IF(I$10-$G$10&lt;=$D160,$G160,0)+IF(I$10-$H$10&lt;=$D160,$H160,0),0),"")</f>
        <v/>
      </c>
      <c r="I215" s="14" t="str">
        <f>IF(J$8=1,IF($C160&gt;0,IF(J$10-$E$10&lt;=$D160,$E160,0)+IF(J$10-$F$10&lt;=$D160,$F160,0)+IF(J$10-$G$10&lt;=$D160,$G160,0)+IF(J$10-$H$10&lt;=$D160,$H160,0)+IF(J$10-$I$10&lt;=$D160,$I160,0),0),"")</f>
        <v/>
      </c>
      <c r="J215" s="14" t="str">
        <f>IF(K$8=1,IF($C160&gt;0,IF(K$10-$E$10&lt;=$D160,$E160,0)+IF(K$10-$F$10&lt;=$D160,$F160,0)+IF(K$10-$G$10&lt;=$D160,$G160,0)+IF(K$10-$H$10&lt;=$D160,$H160,0)+IF(K$10-$I$10&lt;=$D160,$I160,0)+IF(K$10-$J$10&lt;=$D160,$J160,0),0),"")</f>
        <v/>
      </c>
      <c r="K215" s="14" t="str">
        <f>IF(L$8=1,IF($C160&gt;0,IF(L$10-$E$10&lt;=$D160,$E160,0)+IF(L$10-$F$10&lt;=$D160,$F160,0)+IF(L$10-$G$10&lt;=$D160,$G160,0)+IF(L$10-$H$10&lt;=$D160,$H160,0)+IF(L$10-$I$10&lt;=$D160,$I160,0)+IF(L$10-$J$10&lt;=$D160,$J160,0)+IF(L$10-$K$10&lt;=$D160,$K160,0),0),"")</f>
        <v/>
      </c>
      <c r="L215" s="14" t="str">
        <f>IF(M$8=1,IF($C160&gt;0,IF(M$10-$E$10&lt;=$D160,$E160,0)+IF(M$10-$F$10&lt;=$D160,$F160,0)+IF(M$10-$G$10&lt;=$D160,$G160,0)+IF(M$10-$H$10&lt;=$D160,$H160,0)+IF(M$10-$I$10&lt;=$D160,$I160,0)+IF(M$10-$J$10&lt;=$D160,$J160,0)+IF(M$10-$K$10&lt;=$D160,$K160,0)+IF(M$10-$L$10&lt;=$D160,$L160,0),0),"")</f>
        <v/>
      </c>
      <c r="M215" s="14" t="str">
        <f>IF(N$8=1,IF($C160&gt;0,IF(N$10-$E$10&lt;=$D160,$E160,0)+IF(N$10-$F$10&lt;=$D160,$F160,0)+IF(N$10-$G$10&lt;=$D160,$G160,0)+IF(N$10-$H$10&lt;=$D160,$H160,0)+IF(N$10-$I$10&lt;=$D160,$I160,0)+IF(N$10-$J$10&lt;=$D160,$J160,0)+IF(N$10-$K$10&lt;=$D160,$K160,0)+IF(N$10-$L$10&lt;=$D160,$L160,0),0)+IF(N$10-$M$10&lt;=$D160,$M160,0),"")</f>
        <v/>
      </c>
      <c r="N215" s="14" t="str">
        <f>IF(O$8=1,IF($C160&gt;0,IF(O$10-$E$10&lt;=$D160,$E160,0)+IF(O$10-$F$10&lt;=$D160,$F160,0)+IF(O$10-$G$10&lt;=$D160,$G160,0)+IF(O$10-$H$10&lt;=$D160,$H160,0)+IF(O$10-$I$10&lt;=$D160,$I160,0)+IF(O$10-$J$10&lt;=$D160,$J160,0)+IF(O$10-$K$10&lt;=$D160,$K160,0)+IF(O$10-$L$10&lt;=$D160,$L160,0),0)+IF(O$10-$M$10&lt;=$D160,$M160,0)+IF(O$10-$N$10&lt;=$D160,$N160,0),"")</f>
        <v/>
      </c>
      <c r="O215" s="14" t="str">
        <f>IF(P$8=1,IF($C160&gt;0,IF(P$10-$E$10&lt;=$D160,$E160,0)+IF(P$10-$F$10&lt;=$D160,$F160,0)+IF(P$10-$G$10&lt;=$D160,$G160,0)+IF(P$10-$H$10&lt;=$D160,$H160,0)+IF(P$10-$I$10&lt;=$D160,$I160,0)+IF(P$10-$J$10&lt;=$D160,$J160,0)+IF(P$10-$K$10&lt;=$D160,$K160,0)+IF(P$10-$L$10&lt;=$D160,$L160,0),0)+IF(P$10-$M$10&lt;=$D160,$M160,0)+IF(P$10-$N$10&lt;=$D160,$N160,0)+IF(P$10-$O$10&lt;=$D160,$O160,0),"")</f>
        <v/>
      </c>
      <c r="P215" s="14" t="str">
        <f>IF(Q$8=1,IF($C160&gt;0,IF(Q$10-$E$10&lt;=$D160,$E160,0)+IF(Q$10-$F$10&lt;=$D160,$F160,0)+IF(Q$10-$G$10&lt;=$D160,$G160,0)+IF(Q$10-$H$10&lt;=$D160,$H160,0)+IF(Q$10-$I$10&lt;=$D160,$I160,0)+IF(Q$10-$J$10&lt;=$D160,$J160,0)+IF(Q$10-$K$10&lt;=$D160,$K160,0)+IF(Q$10-$L$10&lt;=$D160,$L160,0),0)+IF(Q$10-$M$10&lt;=$D160,$M160,0)+IF(Q$10-$N$10&lt;=$D160,$N160,0)+IF(Q$10-$O$10&lt;=$D160,$O160,0)+IF(Q$10-$P$10&lt;=$D160,$P160,0),"")</f>
        <v/>
      </c>
      <c r="Q215" s="14" t="str">
        <f>IF(R$8=1,IF($C160&gt;0,IF(R$10-$E$10&lt;=$D160,$E160,0)+IF(R$10-$F$10&lt;=$D160,$F160,0)+IF(R$10-$G$10&lt;=$D160,$G160,0)+IF(R$10-$H$10&lt;=$D160,$H160,0)+IF(R$10-$I$10&lt;=$D160,$I160,0)+IF(R$10-$J$10&lt;=$D160,$J160,0)+IF(R$10-$K$10&lt;=$D160,$K160,0)+IF(R$10-$L$10&lt;=$D160,$L160,0),0)+IF(R$10-$M$10&lt;=$D160,$M160,0)+IF(R$10-$N$10&lt;=$D160,$N160,0)+IF(R$10-$O$10&lt;=$D160,$O160,0)+IF(R$10-$P$10&lt;=$D160,$P160,0)+IF(R$10-$Q$10&lt;=$D160,$Q160,0),"")</f>
        <v/>
      </c>
      <c r="R215" s="14" t="str">
        <f>IF(S$8=1,IF($C160&gt;0,IF(S$10-$E$10&lt;=$D160,$E160,0)+IF(S$10-$F$10&lt;=$D160,$F160,0)+IF(S$10-$G$10&lt;=$D160,$G160,0)+IF(S$10-$H$10&lt;=$D160,$H160,0)+IF(S$10-$I$10&lt;=$D160,$I160,0)+IF(S$10-$J$10&lt;=$D160,$J160,0)+IF(S$10-$K$10&lt;=$D160,$K160,0)+IF(S$10-$L$10&lt;=$D160,$L160,0),0)+IF(S$10-$M$10&lt;=$D160,$M160,0)+IF(S$10-$N$10&lt;=$D160,$N160,0)+IF(S$10-$O$10&lt;=$D160,$O160,0)+IF(S$10-$P$10&lt;=$D160,$P160,0)+IF(S$10-$Q$10&lt;=$D160,$Q160,0)+IF(S$10-$R$10&lt;=$D160,$R160,0),"")</f>
        <v/>
      </c>
      <c r="S215" s="14" t="str">
        <f>IF(T$8=1,IF($C160&gt;0,IF(T$10-$E$10&lt;=$D160,$E160,0)+IF(T$10-$F$10&lt;=$D160,$F160,0)+IF(T$10-$G$10&lt;=$D160,$G160,0)+IF(T$10-$H$10&lt;=$D160,$H160,0)+IF(T$10-$I$10&lt;=$D160,$I160,0)+IF(T$10-$J$10&lt;=$D160,$J160,0)+IF(T$10-$K$10&lt;=$D160,$K160,0)+IF(T$10-$L$10&lt;=$D160,$L160,0),0)+IF(T$10-$M$10&lt;=$D160,$M160,0)+IF(T$10-$N$10&lt;=$D160,$N160,0)+IF(T$10-$O$10&lt;=$D160,$O160,0)+IF(T$10-$P$10&lt;=$D160,$P160,0)+IF(T$10-$Q$10&lt;=$D160,$Q160,0)+IF(T$10-$R$10&lt;=$D160,$R160,0)+IF(T$10-$S$10&lt;=$D160,$S160,0),"")</f>
        <v/>
      </c>
    </row>
    <row r="216" spans="2:22">
      <c r="B216" s="50" t="str">
        <f>B161</f>
        <v>Eq. Administrativo 4</v>
      </c>
      <c r="C216" s="51" t="str">
        <f>IF(C161&gt;0,C161,"")</f>
        <v/>
      </c>
      <c r="D216" s="39"/>
      <c r="E216" s="14">
        <f>IF(F$8=1,IF($C161&gt;0,IF(F$10-$E$10&lt;=$D161,$E161,0),0),"")</f>
        <v>0</v>
      </c>
      <c r="F216" s="14">
        <f>IF(G$8=1,IF($C161&gt;0,IF(G$10-$E$10&lt;=$D161,$E161,0)+IF(G$10-$F$10&lt;=$D161,$F161,0),0),"")</f>
        <v>0</v>
      </c>
      <c r="G216" s="14" t="str">
        <f>IF(H$8=1,IF($C161&gt;0,IF(H$10-$E$10&lt;=$D161,$E161,0)+IF(H$10-$F$10&lt;=$D161,$F161,0)+IF(H$10-$G$10&lt;=$D161,$G161,0),0),"")</f>
        <v/>
      </c>
      <c r="H216" s="14" t="str">
        <f>IF(I$8=1,IF($C161&gt;0,IF(I$10-$E$10&lt;=$D161,$E161,0)+IF(I$10-$F$10&lt;=$D161,$F161,0)+IF(I$10-$G$10&lt;=$D161,$G161,0)+IF(I$10-$H$10&lt;=$D161,$H161,0),0),"")</f>
        <v/>
      </c>
      <c r="I216" s="14" t="str">
        <f>IF(J$8=1,IF($C161&gt;0,IF(J$10-$E$10&lt;=$D161,$E161,0)+IF(J$10-$F$10&lt;=$D161,$F161,0)+IF(J$10-$G$10&lt;=$D161,$G161,0)+IF(J$10-$H$10&lt;=$D161,$H161,0)+IF(J$10-$I$10&lt;=$D161,$I161,0),0),"")</f>
        <v/>
      </c>
      <c r="J216" s="14" t="str">
        <f>IF(K$8=1,IF($C161&gt;0,IF(K$10-$E$10&lt;=$D161,$E161,0)+IF(K$10-$F$10&lt;=$D161,$F161,0)+IF(K$10-$G$10&lt;=$D161,$G161,0)+IF(K$10-$H$10&lt;=$D161,$H161,0)+IF(K$10-$I$10&lt;=$D161,$I161,0)+IF(K$10-$J$10&lt;=$D161,$J161,0),0),"")</f>
        <v/>
      </c>
      <c r="K216" s="14" t="str">
        <f>IF(L$8=1,IF($C161&gt;0,IF(L$10-$E$10&lt;=$D161,$E161,0)+IF(L$10-$F$10&lt;=$D161,$F161,0)+IF(L$10-$G$10&lt;=$D161,$G161,0)+IF(L$10-$H$10&lt;=$D161,$H161,0)+IF(L$10-$I$10&lt;=$D161,$I161,0)+IF(L$10-$J$10&lt;=$D161,$J161,0)+IF(L$10-$K$10&lt;=$D161,$K161,0),0),"")</f>
        <v/>
      </c>
      <c r="L216" s="14" t="str">
        <f>IF(M$8=1,IF($C161&gt;0,IF(M$10-$E$10&lt;=$D161,$E161,0)+IF(M$10-$F$10&lt;=$D161,$F161,0)+IF(M$10-$G$10&lt;=$D161,$G161,0)+IF(M$10-$H$10&lt;=$D161,$H161,0)+IF(M$10-$I$10&lt;=$D161,$I161,0)+IF(M$10-$J$10&lt;=$D161,$J161,0)+IF(M$10-$K$10&lt;=$D161,$K161,0)+IF(M$10-$L$10&lt;=$D161,$L161,0),0),"")</f>
        <v/>
      </c>
      <c r="M216" s="14" t="str">
        <f>IF(N$8=1,IF($C161&gt;0,IF(N$10-$E$10&lt;=$D161,$E161,0)+IF(N$10-$F$10&lt;=$D161,$F161,0)+IF(N$10-$G$10&lt;=$D161,$G161,0)+IF(N$10-$H$10&lt;=$D161,$H161,0)+IF(N$10-$I$10&lt;=$D161,$I161,0)+IF(N$10-$J$10&lt;=$D161,$J161,0)+IF(N$10-$K$10&lt;=$D161,$K161,0)+IF(N$10-$L$10&lt;=$D161,$L161,0),0)+IF(N$10-$M$10&lt;=$D161,$M161,0),"")</f>
        <v/>
      </c>
      <c r="N216" s="14" t="str">
        <f>IF(O$8=1,IF($C161&gt;0,IF(O$10-$E$10&lt;=$D161,$E161,0)+IF(O$10-$F$10&lt;=$D161,$F161,0)+IF(O$10-$G$10&lt;=$D161,$G161,0)+IF(O$10-$H$10&lt;=$D161,$H161,0)+IF(O$10-$I$10&lt;=$D161,$I161,0)+IF(O$10-$J$10&lt;=$D161,$J161,0)+IF(O$10-$K$10&lt;=$D161,$K161,0)+IF(O$10-$L$10&lt;=$D161,$L161,0),0)+IF(O$10-$M$10&lt;=$D161,$M161,0)+IF(O$10-$N$10&lt;=$D161,$N161,0),"")</f>
        <v/>
      </c>
      <c r="O216" s="14" t="str">
        <f>IF(P$8=1,IF($C161&gt;0,IF(P$10-$E$10&lt;=$D161,$E161,0)+IF(P$10-$F$10&lt;=$D161,$F161,0)+IF(P$10-$G$10&lt;=$D161,$G161,0)+IF(P$10-$H$10&lt;=$D161,$H161,0)+IF(P$10-$I$10&lt;=$D161,$I161,0)+IF(P$10-$J$10&lt;=$D161,$J161,0)+IF(P$10-$K$10&lt;=$D161,$K161,0)+IF(P$10-$L$10&lt;=$D161,$L161,0),0)+IF(P$10-$M$10&lt;=$D161,$M161,0)+IF(P$10-$N$10&lt;=$D161,$N161,0)+IF(P$10-$O$10&lt;=$D161,$O161,0),"")</f>
        <v/>
      </c>
      <c r="P216" s="14" t="str">
        <f>IF(Q$8=1,IF($C161&gt;0,IF(Q$10-$E$10&lt;=$D161,$E161,0)+IF(Q$10-$F$10&lt;=$D161,$F161,0)+IF(Q$10-$G$10&lt;=$D161,$G161,0)+IF(Q$10-$H$10&lt;=$D161,$H161,0)+IF(Q$10-$I$10&lt;=$D161,$I161,0)+IF(Q$10-$J$10&lt;=$D161,$J161,0)+IF(Q$10-$K$10&lt;=$D161,$K161,0)+IF(Q$10-$L$10&lt;=$D161,$L161,0),0)+IF(Q$10-$M$10&lt;=$D161,$M161,0)+IF(Q$10-$N$10&lt;=$D161,$N161,0)+IF(Q$10-$O$10&lt;=$D161,$O161,0)+IF(Q$10-$P$10&lt;=$D161,$P161,0),"")</f>
        <v/>
      </c>
      <c r="Q216" s="14" t="str">
        <f>IF(R$8=1,IF($C161&gt;0,IF(R$10-$E$10&lt;=$D161,$E161,0)+IF(R$10-$F$10&lt;=$D161,$F161,0)+IF(R$10-$G$10&lt;=$D161,$G161,0)+IF(R$10-$H$10&lt;=$D161,$H161,0)+IF(R$10-$I$10&lt;=$D161,$I161,0)+IF(R$10-$J$10&lt;=$D161,$J161,0)+IF(R$10-$K$10&lt;=$D161,$K161,0)+IF(R$10-$L$10&lt;=$D161,$L161,0),0)+IF(R$10-$M$10&lt;=$D161,$M161,0)+IF(R$10-$N$10&lt;=$D161,$N161,0)+IF(R$10-$O$10&lt;=$D161,$O161,0)+IF(R$10-$P$10&lt;=$D161,$P161,0)+IF(R$10-$Q$10&lt;=$D161,$Q161,0),"")</f>
        <v/>
      </c>
      <c r="R216" s="14" t="str">
        <f>IF(S$8=1,IF($C161&gt;0,IF(S$10-$E$10&lt;=$D161,$E161,0)+IF(S$10-$F$10&lt;=$D161,$F161,0)+IF(S$10-$G$10&lt;=$D161,$G161,0)+IF(S$10-$H$10&lt;=$D161,$H161,0)+IF(S$10-$I$10&lt;=$D161,$I161,0)+IF(S$10-$J$10&lt;=$D161,$J161,0)+IF(S$10-$K$10&lt;=$D161,$K161,0)+IF(S$10-$L$10&lt;=$D161,$L161,0),0)+IF(S$10-$M$10&lt;=$D161,$M161,0)+IF(S$10-$N$10&lt;=$D161,$N161,0)+IF(S$10-$O$10&lt;=$D161,$O161,0)+IF(S$10-$P$10&lt;=$D161,$P161,0)+IF(S$10-$Q$10&lt;=$D161,$Q161,0)+IF(S$10-$R$10&lt;=$D161,$R161,0),"")</f>
        <v/>
      </c>
      <c r="S216" s="14" t="str">
        <f>IF(T$8=1,IF($C161&gt;0,IF(T$10-$E$10&lt;=$D161,$E161,0)+IF(T$10-$F$10&lt;=$D161,$F161,0)+IF(T$10-$G$10&lt;=$D161,$G161,0)+IF(T$10-$H$10&lt;=$D161,$H161,0)+IF(T$10-$I$10&lt;=$D161,$I161,0)+IF(T$10-$J$10&lt;=$D161,$J161,0)+IF(T$10-$K$10&lt;=$D161,$K161,0)+IF(T$10-$L$10&lt;=$D161,$L161,0),0)+IF(T$10-$M$10&lt;=$D161,$M161,0)+IF(T$10-$N$10&lt;=$D161,$N161,0)+IF(T$10-$O$10&lt;=$D161,$O161,0)+IF(T$10-$P$10&lt;=$D161,$P161,0)+IF(T$10-$Q$10&lt;=$D161,$Q161,0)+IF(T$10-$R$10&lt;=$D161,$R161,0)+IF(T$10-$S$10&lt;=$D161,$S161,0),"")</f>
        <v/>
      </c>
    </row>
    <row r="217" spans="2:22">
      <c r="B217" s="21" t="s">
        <v>96</v>
      </c>
      <c r="C217" s="39"/>
      <c r="D217" s="39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2:22">
      <c r="B218" s="50" t="str">
        <f>B163</f>
        <v>Outros 1</v>
      </c>
      <c r="C218" s="51">
        <f>IF(C163&gt;0,C163,"")</f>
        <v>0.25</v>
      </c>
      <c r="D218" s="39"/>
      <c r="E218" s="14">
        <f>IF(F$8=1,IF($C163&gt;0,IF(F$10-$E$10&lt;=$D163,$E163,0),0),"")</f>
        <v>5000</v>
      </c>
      <c r="F218" s="14">
        <f>IF(G$8=1,IF($C163&gt;0,IF(G$10-$E$10&lt;=$D163,$E163,0)+IF(G$10-$F$10&lt;=$D163,$F163,0),0),"")</f>
        <v>5000</v>
      </c>
      <c r="G218" s="14" t="str">
        <f>IF(H$8=1,IF($C163&gt;0,IF(H$10-$E$10&lt;=$D163,$E163,0)+IF(H$10-$F$10&lt;=$D163,$F163,0)+IF(H$10-$G$10&lt;=$D163,$G163,0),0),"")</f>
        <v/>
      </c>
      <c r="H218" s="14" t="str">
        <f>IF(I$8=1,IF($C163&gt;0,IF(I$10-$E$10&lt;=$D163,$E163,0)+IF(I$10-$F$10&lt;=$D163,$F163,0)+IF(I$10-$G$10&lt;=$D163,$G163,0)+IF(I$10-$H$10&lt;=$D163,$H163,0),0),"")</f>
        <v/>
      </c>
      <c r="I218" s="14" t="str">
        <f>IF(J$8=1,IF($C163&gt;0,IF(J$10-$E$10&lt;=$D163,$E163,0)+IF(J$10-$F$10&lt;=$D163,$F163,0)+IF(J$10-$G$10&lt;=$D163,$G163,0)+IF(J$10-$H$10&lt;=$D163,$H163,0)+IF(J$10-$I$10&lt;=$D163,$I163,0),0),"")</f>
        <v/>
      </c>
      <c r="J218" s="14" t="str">
        <f>IF(K$8=1,IF($C163&gt;0,IF(K$10-$E$10&lt;=$D163,$E163,0)+IF(K$10-$F$10&lt;=$D163,$F163,0)+IF(K$10-$G$10&lt;=$D163,$G163,0)+IF(K$10-$H$10&lt;=$D163,$H163,0)+IF(K$10-$I$10&lt;=$D163,$I163,0)+IF(K$10-$J$10&lt;=$D163,$J163,0),0),"")</f>
        <v/>
      </c>
      <c r="K218" s="14" t="str">
        <f>IF(L$8=1,IF($C163&gt;0,IF(L$10-$E$10&lt;=$D163,$E163,0)+IF(L$10-$F$10&lt;=$D163,$F163,0)+IF(L$10-$G$10&lt;=$D163,$G163,0)+IF(L$10-$H$10&lt;=$D163,$H163,0)+IF(L$10-$I$10&lt;=$D163,$I163,0)+IF(L$10-$J$10&lt;=$D163,$J163,0)+IF(L$10-$K$10&lt;=$D163,$K163,0),0),"")</f>
        <v/>
      </c>
      <c r="L218" s="14" t="str">
        <f>IF(M$8=1,IF($C163&gt;0,IF(M$10-$E$10&lt;=$D163,$E163,0)+IF(M$10-$F$10&lt;=$D163,$F163,0)+IF(M$10-$G$10&lt;=$D163,$G163,0)+IF(M$10-$H$10&lt;=$D163,$H163,0)+IF(M$10-$I$10&lt;=$D163,$I163,0)+IF(M$10-$J$10&lt;=$D163,$J163,0)+IF(M$10-$K$10&lt;=$D163,$K163,0)+IF(M$10-$L$10&lt;=$D163,$L163,0),0),"")</f>
        <v/>
      </c>
      <c r="M218" s="14" t="str">
        <f>IF(N$8=1,IF($C163&gt;0,IF(N$10-$E$10&lt;=$D163,$E163,0)+IF(N$10-$F$10&lt;=$D163,$F163,0)+IF(N$10-$G$10&lt;=$D163,$G163,0)+IF(N$10-$H$10&lt;=$D163,$H163,0)+IF(N$10-$I$10&lt;=$D163,$I163,0)+IF(N$10-$J$10&lt;=$D163,$J163,0)+IF(N$10-$K$10&lt;=$D163,$K163,0)+IF(N$10-$L$10&lt;=$D163,$L163,0),0)+IF(N$10-$M$10&lt;=$D163,$M163,0),"")</f>
        <v/>
      </c>
      <c r="N218" s="14" t="str">
        <f>IF(O$8=1,IF($C163&gt;0,IF(O$10-$E$10&lt;=$D163,$E163,0)+IF(O$10-$F$10&lt;=$D163,$F163,0)+IF(O$10-$G$10&lt;=$D163,$G163,0)+IF(O$10-$H$10&lt;=$D163,$H163,0)+IF(O$10-$I$10&lt;=$D163,$I163,0)+IF(O$10-$J$10&lt;=$D163,$J163,0)+IF(O$10-$K$10&lt;=$D163,$K163,0)+IF(O$10-$L$10&lt;=$D163,$L163,0),0)+IF(O$10-$M$10&lt;=$D163,$M163,0)+IF(O$10-$N$10&lt;=$D163,$N163,0),"")</f>
        <v/>
      </c>
      <c r="O218" s="14" t="str">
        <f>IF(P$8=1,IF($C163&gt;0,IF(P$10-$E$10&lt;=$D163,$E163,0)+IF(P$10-$F$10&lt;=$D163,$F163,0)+IF(P$10-$G$10&lt;=$D163,$G163,0)+IF(P$10-$H$10&lt;=$D163,$H163,0)+IF(P$10-$I$10&lt;=$D163,$I163,0)+IF(P$10-$J$10&lt;=$D163,$J163,0)+IF(P$10-$K$10&lt;=$D163,$K163,0)+IF(P$10-$L$10&lt;=$D163,$L163,0),0)+IF(P$10-$M$10&lt;=$D163,$M163,0)+IF(P$10-$N$10&lt;=$D163,$N163,0)+IF(P$10-$O$10&lt;=$D163,$O163,0),"")</f>
        <v/>
      </c>
      <c r="P218" s="14" t="str">
        <f>IF(Q$8=1,IF($C163&gt;0,IF(Q$10-$E$10&lt;=$D163,$E163,0)+IF(Q$10-$F$10&lt;=$D163,$F163,0)+IF(Q$10-$G$10&lt;=$D163,$G163,0)+IF(Q$10-$H$10&lt;=$D163,$H163,0)+IF(Q$10-$I$10&lt;=$D163,$I163,0)+IF(Q$10-$J$10&lt;=$D163,$J163,0)+IF(Q$10-$K$10&lt;=$D163,$K163,0)+IF(Q$10-$L$10&lt;=$D163,$L163,0),0)+IF(Q$10-$M$10&lt;=$D163,$M163,0)+IF(Q$10-$N$10&lt;=$D163,$N163,0)+IF(Q$10-$O$10&lt;=$D163,$O163,0)+IF(Q$10-$P$10&lt;=$D163,$P163,0),"")</f>
        <v/>
      </c>
      <c r="Q218" s="14" t="str">
        <f>IF(R$8=1,IF($C163&gt;0,IF(R$10-$E$10&lt;=$D163,$E163,0)+IF(R$10-$F$10&lt;=$D163,$F163,0)+IF(R$10-$G$10&lt;=$D163,$G163,0)+IF(R$10-$H$10&lt;=$D163,$H163,0)+IF(R$10-$I$10&lt;=$D163,$I163,0)+IF(R$10-$J$10&lt;=$D163,$J163,0)+IF(R$10-$K$10&lt;=$D163,$K163,0)+IF(R$10-$L$10&lt;=$D163,$L163,0),0)+IF(R$10-$M$10&lt;=$D163,$M163,0)+IF(R$10-$N$10&lt;=$D163,$N163,0)+IF(R$10-$O$10&lt;=$D163,$O163,0)+IF(R$10-$P$10&lt;=$D163,$P163,0)+IF(R$10-$Q$10&lt;=$D163,$Q163,0),"")</f>
        <v/>
      </c>
      <c r="R218" s="14" t="str">
        <f>IF(S$8=1,IF($C163&gt;0,IF(S$10-$E$10&lt;=$D163,$E163,0)+IF(S$10-$F$10&lt;=$D163,$F163,0)+IF(S$10-$G$10&lt;=$D163,$G163,0)+IF(S$10-$H$10&lt;=$D163,$H163,0)+IF(S$10-$I$10&lt;=$D163,$I163,0)+IF(S$10-$J$10&lt;=$D163,$J163,0)+IF(S$10-$K$10&lt;=$D163,$K163,0)+IF(S$10-$L$10&lt;=$D163,$L163,0),0)+IF(S$10-$M$10&lt;=$D163,$M163,0)+IF(S$10-$N$10&lt;=$D163,$N163,0)+IF(S$10-$O$10&lt;=$D163,$O163,0)+IF(S$10-$P$10&lt;=$D163,$P163,0)+IF(S$10-$Q$10&lt;=$D163,$Q163,0)+IF(S$10-$R$10&lt;=$D163,$R163,0),"")</f>
        <v/>
      </c>
      <c r="S218" s="14" t="str">
        <f>IF(T$8=1,IF($C163&gt;0,IF(T$10-$E$10&lt;=$D163,$E163,0)+IF(T$10-$F$10&lt;=$D163,$F163,0)+IF(T$10-$G$10&lt;=$D163,$G163,0)+IF(T$10-$H$10&lt;=$D163,$H163,0)+IF(T$10-$I$10&lt;=$D163,$I163,0)+IF(T$10-$J$10&lt;=$D163,$J163,0)+IF(T$10-$K$10&lt;=$D163,$K163,0)+IF(T$10-$L$10&lt;=$D163,$L163,0),0)+IF(T$10-$M$10&lt;=$D163,$M163,0)+IF(T$10-$N$10&lt;=$D163,$N163,0)+IF(T$10-$O$10&lt;=$D163,$O163,0)+IF(T$10-$P$10&lt;=$D163,$P163,0)+IF(T$10-$Q$10&lt;=$D163,$Q163,0)+IF(T$10-$R$10&lt;=$D163,$R163,0)+IF(T$10-$S$10&lt;=$D163,$S163,0),"")</f>
        <v/>
      </c>
    </row>
    <row r="219" spans="2:22">
      <c r="B219" s="50" t="str">
        <f>B164</f>
        <v>Outros 2</v>
      </c>
      <c r="C219" s="51" t="str">
        <f>IF(C164&gt;0,C164,"")</f>
        <v/>
      </c>
      <c r="D219" s="39"/>
      <c r="E219" s="14">
        <f>IF(F$8=1,IF($C164&gt;0,IF(F$10-$E$10&lt;=$D164,$E164,0),0),"")</f>
        <v>0</v>
      </c>
      <c r="F219" s="14">
        <f>IF(G$8=1,IF($C164&gt;0,IF(G$10-$E$10&lt;=$D164,$E164,0)+IF(G$10-$F$10&lt;=$D164,$F164,0),0),"")</f>
        <v>0</v>
      </c>
      <c r="G219" s="14" t="str">
        <f>IF(H$8=1,IF($C164&gt;0,IF(H$10-$E$10&lt;=$D164,$E164,0)+IF(H$10-$F$10&lt;=$D164,$F164,0)+IF(H$10-$G$10&lt;=$D164,$G164,0),0),"")</f>
        <v/>
      </c>
      <c r="H219" s="14" t="str">
        <f>IF(I$8=1,IF($C164&gt;0,IF(I$10-$E$10&lt;=$D164,$E164,0)+IF(I$10-$F$10&lt;=$D164,$F164,0)+IF(I$10-$G$10&lt;=$D164,$G164,0)+IF(I$10-$H$10&lt;=$D164,$H164,0),0),"")</f>
        <v/>
      </c>
      <c r="I219" s="14" t="str">
        <f>IF(J$8=1,IF($C164&gt;0,IF(J$10-$E$10&lt;=$D164,$E164,0)+IF(J$10-$F$10&lt;=$D164,$F164,0)+IF(J$10-$G$10&lt;=$D164,$G164,0)+IF(J$10-$H$10&lt;=$D164,$H164,0)+IF(J$10-$I$10&lt;=$D164,$I164,0),0),"")</f>
        <v/>
      </c>
      <c r="J219" s="14" t="str">
        <f>IF(K$8=1,IF($C164&gt;0,IF(K$10-$E$10&lt;=$D164,$E164,0)+IF(K$10-$F$10&lt;=$D164,$F164,0)+IF(K$10-$G$10&lt;=$D164,$G164,0)+IF(K$10-$H$10&lt;=$D164,$H164,0)+IF(K$10-$I$10&lt;=$D164,$I164,0)+IF(K$10-$J$10&lt;=$D164,$J164,0),0),"")</f>
        <v/>
      </c>
      <c r="K219" s="14" t="str">
        <f>IF(L$8=1,IF($C164&gt;0,IF(L$10-$E$10&lt;=$D164,$E164,0)+IF(L$10-$F$10&lt;=$D164,$F164,0)+IF(L$10-$G$10&lt;=$D164,$G164,0)+IF(L$10-$H$10&lt;=$D164,$H164,0)+IF(L$10-$I$10&lt;=$D164,$I164,0)+IF(L$10-$J$10&lt;=$D164,$J164,0)+IF(L$10-$K$10&lt;=$D164,$K164,0),0),"")</f>
        <v/>
      </c>
      <c r="L219" s="14" t="str">
        <f>IF(M$8=1,IF($C164&gt;0,IF(M$10-$E$10&lt;=$D164,$E164,0)+IF(M$10-$F$10&lt;=$D164,$F164,0)+IF(M$10-$G$10&lt;=$D164,$G164,0)+IF(M$10-$H$10&lt;=$D164,$H164,0)+IF(M$10-$I$10&lt;=$D164,$I164,0)+IF(M$10-$J$10&lt;=$D164,$J164,0)+IF(M$10-$K$10&lt;=$D164,$K164,0)+IF(M$10-$L$10&lt;=$D164,$L164,0),0),"")</f>
        <v/>
      </c>
      <c r="M219" s="14" t="str">
        <f>IF(N$8=1,IF($C164&gt;0,IF(N$10-$E$10&lt;=$D164,$E164,0)+IF(N$10-$F$10&lt;=$D164,$F164,0)+IF(N$10-$G$10&lt;=$D164,$G164,0)+IF(N$10-$H$10&lt;=$D164,$H164,0)+IF(N$10-$I$10&lt;=$D164,$I164,0)+IF(N$10-$J$10&lt;=$D164,$J164,0)+IF(N$10-$K$10&lt;=$D164,$K164,0)+IF(N$10-$L$10&lt;=$D164,$L164,0),0)+IF(N$10-$M$10&lt;=$D164,$M164,0),"")</f>
        <v/>
      </c>
      <c r="N219" s="14" t="str">
        <f>IF(O$8=1,IF($C164&gt;0,IF(O$10-$E$10&lt;=$D164,$E164,0)+IF(O$10-$F$10&lt;=$D164,$F164,0)+IF(O$10-$G$10&lt;=$D164,$G164,0)+IF(O$10-$H$10&lt;=$D164,$H164,0)+IF(O$10-$I$10&lt;=$D164,$I164,0)+IF(O$10-$J$10&lt;=$D164,$J164,0)+IF(O$10-$K$10&lt;=$D164,$K164,0)+IF(O$10-$L$10&lt;=$D164,$L164,0),0)+IF(O$10-$M$10&lt;=$D164,$M164,0)+IF(O$10-$N$10&lt;=$D164,$N164,0),"")</f>
        <v/>
      </c>
      <c r="O219" s="14" t="str">
        <f>IF(P$8=1,IF($C164&gt;0,IF(P$10-$E$10&lt;=$D164,$E164,0)+IF(P$10-$F$10&lt;=$D164,$F164,0)+IF(P$10-$G$10&lt;=$D164,$G164,0)+IF(P$10-$H$10&lt;=$D164,$H164,0)+IF(P$10-$I$10&lt;=$D164,$I164,0)+IF(P$10-$J$10&lt;=$D164,$J164,0)+IF(P$10-$K$10&lt;=$D164,$K164,0)+IF(P$10-$L$10&lt;=$D164,$L164,0),0)+IF(P$10-$M$10&lt;=$D164,$M164,0)+IF(P$10-$N$10&lt;=$D164,$N164,0)+IF(P$10-$O$10&lt;=$D164,$O164,0),"")</f>
        <v/>
      </c>
      <c r="P219" s="14" t="str">
        <f>IF(Q$8=1,IF($C164&gt;0,IF(Q$10-$E$10&lt;=$D164,$E164,0)+IF(Q$10-$F$10&lt;=$D164,$F164,0)+IF(Q$10-$G$10&lt;=$D164,$G164,0)+IF(Q$10-$H$10&lt;=$D164,$H164,0)+IF(Q$10-$I$10&lt;=$D164,$I164,0)+IF(Q$10-$J$10&lt;=$D164,$J164,0)+IF(Q$10-$K$10&lt;=$D164,$K164,0)+IF(Q$10-$L$10&lt;=$D164,$L164,0),0)+IF(Q$10-$M$10&lt;=$D164,$M164,0)+IF(Q$10-$N$10&lt;=$D164,$N164,0)+IF(Q$10-$O$10&lt;=$D164,$O164,0)+IF(Q$10-$P$10&lt;=$D164,$P164,0),"")</f>
        <v/>
      </c>
      <c r="Q219" s="14" t="str">
        <f>IF(R$8=1,IF($C164&gt;0,IF(R$10-$E$10&lt;=$D164,$E164,0)+IF(R$10-$F$10&lt;=$D164,$F164,0)+IF(R$10-$G$10&lt;=$D164,$G164,0)+IF(R$10-$H$10&lt;=$D164,$H164,0)+IF(R$10-$I$10&lt;=$D164,$I164,0)+IF(R$10-$J$10&lt;=$D164,$J164,0)+IF(R$10-$K$10&lt;=$D164,$K164,0)+IF(R$10-$L$10&lt;=$D164,$L164,0),0)+IF(R$10-$M$10&lt;=$D164,$M164,0)+IF(R$10-$N$10&lt;=$D164,$N164,0)+IF(R$10-$O$10&lt;=$D164,$O164,0)+IF(R$10-$P$10&lt;=$D164,$P164,0)+IF(R$10-$Q$10&lt;=$D164,$Q164,0),"")</f>
        <v/>
      </c>
      <c r="R219" s="14" t="str">
        <f>IF(S$8=1,IF($C164&gt;0,IF(S$10-$E$10&lt;=$D164,$E164,0)+IF(S$10-$F$10&lt;=$D164,$F164,0)+IF(S$10-$G$10&lt;=$D164,$G164,0)+IF(S$10-$H$10&lt;=$D164,$H164,0)+IF(S$10-$I$10&lt;=$D164,$I164,0)+IF(S$10-$J$10&lt;=$D164,$J164,0)+IF(S$10-$K$10&lt;=$D164,$K164,0)+IF(S$10-$L$10&lt;=$D164,$L164,0),0)+IF(S$10-$M$10&lt;=$D164,$M164,0)+IF(S$10-$N$10&lt;=$D164,$N164,0)+IF(S$10-$O$10&lt;=$D164,$O164,0)+IF(S$10-$P$10&lt;=$D164,$P164,0)+IF(S$10-$Q$10&lt;=$D164,$Q164,0)+IF(S$10-$R$10&lt;=$D164,$R164,0),"")</f>
        <v/>
      </c>
      <c r="S219" s="14" t="str">
        <f>IF(T$8=1,IF($C164&gt;0,IF(T$10-$E$10&lt;=$D164,$E164,0)+IF(T$10-$F$10&lt;=$D164,$F164,0)+IF(T$10-$G$10&lt;=$D164,$G164,0)+IF(T$10-$H$10&lt;=$D164,$H164,0)+IF(T$10-$I$10&lt;=$D164,$I164,0)+IF(T$10-$J$10&lt;=$D164,$J164,0)+IF(T$10-$K$10&lt;=$D164,$K164,0)+IF(T$10-$L$10&lt;=$D164,$L164,0),0)+IF(T$10-$M$10&lt;=$D164,$M164,0)+IF(T$10-$N$10&lt;=$D164,$N164,0)+IF(T$10-$O$10&lt;=$D164,$O164,0)+IF(T$10-$P$10&lt;=$D164,$P164,0)+IF(T$10-$Q$10&lt;=$D164,$Q164,0)+IF(T$10-$R$10&lt;=$D164,$R164,0)+IF(T$10-$S$10&lt;=$D164,$S164,0),"")</f>
        <v/>
      </c>
    </row>
    <row r="220" spans="2:22">
      <c r="B220" s="50" t="str">
        <f>B165</f>
        <v>Outros 3</v>
      </c>
      <c r="C220" s="51" t="str">
        <f>IF(C165&gt;0,C165,"")</f>
        <v/>
      </c>
      <c r="D220" s="39"/>
      <c r="E220" s="14">
        <f>IF(F$8=1,IF($C165&gt;0,IF(F$10-$E$10&lt;=$D165,$E165,0),0),"")</f>
        <v>0</v>
      </c>
      <c r="F220" s="14">
        <f>IF(G$8=1,IF($C165&gt;0,IF(G$10-$E$10&lt;=$D165,$E165,0)+IF(G$10-$F$10&lt;=$D165,$F165,0),0),"")</f>
        <v>0</v>
      </c>
      <c r="G220" s="14" t="str">
        <f>IF(H$8=1,IF($C165&gt;0,IF(H$10-$E$10&lt;=$D165,$E165,0)+IF(H$10-$F$10&lt;=$D165,$F165,0)+IF(H$10-$G$10&lt;=$D165,$G165,0),0),"")</f>
        <v/>
      </c>
      <c r="H220" s="14" t="str">
        <f>IF(I$8=1,IF($C165&gt;0,IF(I$10-$E$10&lt;=$D165,$E165,0)+IF(I$10-$F$10&lt;=$D165,$F165,0)+IF(I$10-$G$10&lt;=$D165,$G165,0)+IF(I$10-$H$10&lt;=$D165,$H165,0),0),"")</f>
        <v/>
      </c>
      <c r="I220" s="14" t="str">
        <f>IF(J$8=1,IF($C165&gt;0,IF(J$10-$E$10&lt;=$D165,$E165,0)+IF(J$10-$F$10&lt;=$D165,$F165,0)+IF(J$10-$G$10&lt;=$D165,$G165,0)+IF(J$10-$H$10&lt;=$D165,$H165,0)+IF(J$10-$I$10&lt;=$D165,$I165,0),0),"")</f>
        <v/>
      </c>
      <c r="J220" s="14" t="str">
        <f>IF(K$8=1,IF($C165&gt;0,IF(K$10-$E$10&lt;=$D165,$E165,0)+IF(K$10-$F$10&lt;=$D165,$F165,0)+IF(K$10-$G$10&lt;=$D165,$G165,0)+IF(K$10-$H$10&lt;=$D165,$H165,0)+IF(K$10-$I$10&lt;=$D165,$I165,0)+IF(K$10-$J$10&lt;=$D165,$J165,0),0),"")</f>
        <v/>
      </c>
      <c r="K220" s="14" t="str">
        <f>IF(L$8=1,IF($C165&gt;0,IF(L$10-$E$10&lt;=$D165,$E165,0)+IF(L$10-$F$10&lt;=$D165,$F165,0)+IF(L$10-$G$10&lt;=$D165,$G165,0)+IF(L$10-$H$10&lt;=$D165,$H165,0)+IF(L$10-$I$10&lt;=$D165,$I165,0)+IF(L$10-$J$10&lt;=$D165,$J165,0)+IF(L$10-$K$10&lt;=$D165,$K165,0),0),"")</f>
        <v/>
      </c>
      <c r="L220" s="14" t="str">
        <f>IF(M$8=1,IF($C165&gt;0,IF(M$10-$E$10&lt;=$D165,$E165,0)+IF(M$10-$F$10&lt;=$D165,$F165,0)+IF(M$10-$G$10&lt;=$D165,$G165,0)+IF(M$10-$H$10&lt;=$D165,$H165,0)+IF(M$10-$I$10&lt;=$D165,$I165,0)+IF(M$10-$J$10&lt;=$D165,$J165,0)+IF(M$10-$K$10&lt;=$D165,$K165,0)+IF(M$10-$L$10&lt;=$D165,$L165,0),0),"")</f>
        <v/>
      </c>
      <c r="M220" s="14" t="str">
        <f>IF(N$8=1,IF($C165&gt;0,IF(N$10-$E$10&lt;=$D165,$E165,0)+IF(N$10-$F$10&lt;=$D165,$F165,0)+IF(N$10-$G$10&lt;=$D165,$G165,0)+IF(N$10-$H$10&lt;=$D165,$H165,0)+IF(N$10-$I$10&lt;=$D165,$I165,0)+IF(N$10-$J$10&lt;=$D165,$J165,0)+IF(N$10-$K$10&lt;=$D165,$K165,0)+IF(N$10-$L$10&lt;=$D165,$L165,0),0)+IF(N$10-$M$10&lt;=$D165,$M165,0),"")</f>
        <v/>
      </c>
      <c r="N220" s="14" t="str">
        <f>IF(O$8=1,IF($C165&gt;0,IF(O$10-$E$10&lt;=$D165,$E165,0)+IF(O$10-$F$10&lt;=$D165,$F165,0)+IF(O$10-$G$10&lt;=$D165,$G165,0)+IF(O$10-$H$10&lt;=$D165,$H165,0)+IF(O$10-$I$10&lt;=$D165,$I165,0)+IF(O$10-$J$10&lt;=$D165,$J165,0)+IF(O$10-$K$10&lt;=$D165,$K165,0)+IF(O$10-$L$10&lt;=$D165,$L165,0),0)+IF(O$10-$M$10&lt;=$D165,$M165,0)+IF(O$10-$N$10&lt;=$D165,$N165,0),"")</f>
        <v/>
      </c>
      <c r="O220" s="14" t="str">
        <f>IF(P$8=1,IF($C165&gt;0,IF(P$10-$E$10&lt;=$D165,$E165,0)+IF(P$10-$F$10&lt;=$D165,$F165,0)+IF(P$10-$G$10&lt;=$D165,$G165,0)+IF(P$10-$H$10&lt;=$D165,$H165,0)+IF(P$10-$I$10&lt;=$D165,$I165,0)+IF(P$10-$J$10&lt;=$D165,$J165,0)+IF(P$10-$K$10&lt;=$D165,$K165,0)+IF(P$10-$L$10&lt;=$D165,$L165,0),0)+IF(P$10-$M$10&lt;=$D165,$M165,0)+IF(P$10-$N$10&lt;=$D165,$N165,0)+IF(P$10-$O$10&lt;=$D165,$O165,0),"")</f>
        <v/>
      </c>
      <c r="P220" s="14" t="str">
        <f>IF(Q$8=1,IF($C165&gt;0,IF(Q$10-$E$10&lt;=$D165,$E165,0)+IF(Q$10-$F$10&lt;=$D165,$F165,0)+IF(Q$10-$G$10&lt;=$D165,$G165,0)+IF(Q$10-$H$10&lt;=$D165,$H165,0)+IF(Q$10-$I$10&lt;=$D165,$I165,0)+IF(Q$10-$J$10&lt;=$D165,$J165,0)+IF(Q$10-$K$10&lt;=$D165,$K165,0)+IF(Q$10-$L$10&lt;=$D165,$L165,0),0)+IF(Q$10-$M$10&lt;=$D165,$M165,0)+IF(Q$10-$N$10&lt;=$D165,$N165,0)+IF(Q$10-$O$10&lt;=$D165,$O165,0)+IF(Q$10-$P$10&lt;=$D165,$P165,0),"")</f>
        <v/>
      </c>
      <c r="Q220" s="14" t="str">
        <f>IF(R$8=1,IF($C165&gt;0,IF(R$10-$E$10&lt;=$D165,$E165,0)+IF(R$10-$F$10&lt;=$D165,$F165,0)+IF(R$10-$G$10&lt;=$D165,$G165,0)+IF(R$10-$H$10&lt;=$D165,$H165,0)+IF(R$10-$I$10&lt;=$D165,$I165,0)+IF(R$10-$J$10&lt;=$D165,$J165,0)+IF(R$10-$K$10&lt;=$D165,$K165,0)+IF(R$10-$L$10&lt;=$D165,$L165,0),0)+IF(R$10-$M$10&lt;=$D165,$M165,0)+IF(R$10-$N$10&lt;=$D165,$N165,0)+IF(R$10-$O$10&lt;=$D165,$O165,0)+IF(R$10-$P$10&lt;=$D165,$P165,0)+IF(R$10-$Q$10&lt;=$D165,$Q165,0),"")</f>
        <v/>
      </c>
      <c r="R220" s="14" t="str">
        <f>IF(S$8=1,IF($C165&gt;0,IF(S$10-$E$10&lt;=$D165,$E165,0)+IF(S$10-$F$10&lt;=$D165,$F165,0)+IF(S$10-$G$10&lt;=$D165,$G165,0)+IF(S$10-$H$10&lt;=$D165,$H165,0)+IF(S$10-$I$10&lt;=$D165,$I165,0)+IF(S$10-$J$10&lt;=$D165,$J165,0)+IF(S$10-$K$10&lt;=$D165,$K165,0)+IF(S$10-$L$10&lt;=$D165,$L165,0),0)+IF(S$10-$M$10&lt;=$D165,$M165,0)+IF(S$10-$N$10&lt;=$D165,$N165,0)+IF(S$10-$O$10&lt;=$D165,$O165,0)+IF(S$10-$P$10&lt;=$D165,$P165,0)+IF(S$10-$Q$10&lt;=$D165,$Q165,0)+IF(S$10-$R$10&lt;=$D165,$R165,0),"")</f>
        <v/>
      </c>
      <c r="S220" s="14" t="str">
        <f>IF(T$8=1,IF($C165&gt;0,IF(T$10-$E$10&lt;=$D165,$E165,0)+IF(T$10-$F$10&lt;=$D165,$F165,0)+IF(T$10-$G$10&lt;=$D165,$G165,0)+IF(T$10-$H$10&lt;=$D165,$H165,0)+IF(T$10-$I$10&lt;=$D165,$I165,0)+IF(T$10-$J$10&lt;=$D165,$J165,0)+IF(T$10-$K$10&lt;=$D165,$K165,0)+IF(T$10-$L$10&lt;=$D165,$L165,0),0)+IF(T$10-$M$10&lt;=$D165,$M165,0)+IF(T$10-$N$10&lt;=$D165,$N165,0)+IF(T$10-$O$10&lt;=$D165,$O165,0)+IF(T$10-$P$10&lt;=$D165,$P165,0)+IF(T$10-$Q$10&lt;=$D165,$Q165,0)+IF(T$10-$R$10&lt;=$D165,$R165,0)+IF(T$10-$S$10&lt;=$D165,$S165,0),"")</f>
        <v/>
      </c>
    </row>
    <row r="221" spans="2:22">
      <c r="B221" s="50" t="str">
        <f>B166</f>
        <v>Outros 4</v>
      </c>
      <c r="C221" s="51" t="str">
        <f>IF(C166&gt;0,C166,"")</f>
        <v/>
      </c>
      <c r="D221" s="39"/>
      <c r="E221" s="14">
        <f>IF(F$8=1,IF($C166&gt;0,IF(F$10-$E$10&lt;=$D166,$E166,0),0),"")</f>
        <v>0</v>
      </c>
      <c r="F221" s="14">
        <f>IF(G$8=1,IF($C166&gt;0,IF(G$10-$E$10&lt;=$D166,$E166,0)+IF(G$10-$F$10&lt;=$D166,$F166,0),0),"")</f>
        <v>0</v>
      </c>
      <c r="G221" s="14" t="str">
        <f>IF(H$8=1,IF($C166&gt;0,IF(H$10-$E$10&lt;=$D166,$E166,0)+IF(H$10-$F$10&lt;=$D166,$F166,0)+IF(H$10-$G$10&lt;=$D166,$G166,0),0),"")</f>
        <v/>
      </c>
      <c r="H221" s="14" t="str">
        <f>IF(I$8=1,IF($C166&gt;0,IF(I$10-$E$10&lt;=$D166,$E166,0)+IF(I$10-$F$10&lt;=$D166,$F166,0)+IF(I$10-$G$10&lt;=$D166,$G166,0)+IF(I$10-$H$10&lt;=$D166,$H166,0),0),"")</f>
        <v/>
      </c>
      <c r="I221" s="14" t="str">
        <f>IF(J$8=1,IF($C166&gt;0,IF(J$10-$E$10&lt;=$D166,$E166,0)+IF(J$10-$F$10&lt;=$D166,$F166,0)+IF(J$10-$G$10&lt;=$D166,$G166,0)+IF(J$10-$H$10&lt;=$D166,$H166,0)+IF(J$10-$I$10&lt;=$D166,$I166,0),0),"")</f>
        <v/>
      </c>
      <c r="J221" s="14" t="str">
        <f>IF(K$8=1,IF($C166&gt;0,IF(K$10-$E$10&lt;=$D166,$E166,0)+IF(K$10-$F$10&lt;=$D166,$F166,0)+IF(K$10-$G$10&lt;=$D166,$G166,0)+IF(K$10-$H$10&lt;=$D166,$H166,0)+IF(K$10-$I$10&lt;=$D166,$I166,0)+IF(K$10-$J$10&lt;=$D166,$J166,0),0),"")</f>
        <v/>
      </c>
      <c r="K221" s="14" t="str">
        <f>IF(L$8=1,IF($C166&gt;0,IF(L$10-$E$10&lt;=$D166,$E166,0)+IF(L$10-$F$10&lt;=$D166,$F166,0)+IF(L$10-$G$10&lt;=$D166,$G166,0)+IF(L$10-$H$10&lt;=$D166,$H166,0)+IF(L$10-$I$10&lt;=$D166,$I166,0)+IF(L$10-$J$10&lt;=$D166,$J166,0)+IF(L$10-$K$10&lt;=$D166,$K166,0),0),"")</f>
        <v/>
      </c>
      <c r="L221" s="14" t="str">
        <f>IF(M$8=1,IF($C166&gt;0,IF(M$10-$E$10&lt;=$D166,$E166,0)+IF(M$10-$F$10&lt;=$D166,$F166,0)+IF(M$10-$G$10&lt;=$D166,$G166,0)+IF(M$10-$H$10&lt;=$D166,$H166,0)+IF(M$10-$I$10&lt;=$D166,$I166,0)+IF(M$10-$J$10&lt;=$D166,$J166,0)+IF(M$10-$K$10&lt;=$D166,$K166,0)+IF(M$10-$L$10&lt;=$D166,$L166,0),0),"")</f>
        <v/>
      </c>
      <c r="M221" s="14" t="str">
        <f>IF(N$8=1,IF($C166&gt;0,IF(N$10-$E$10&lt;=$D166,$E166,0)+IF(N$10-$F$10&lt;=$D166,$F166,0)+IF(N$10-$G$10&lt;=$D166,$G166,0)+IF(N$10-$H$10&lt;=$D166,$H166,0)+IF(N$10-$I$10&lt;=$D166,$I166,0)+IF(N$10-$J$10&lt;=$D166,$J166,0)+IF(N$10-$K$10&lt;=$D166,$K166,0)+IF(N$10-$L$10&lt;=$D166,$L166,0),0)+IF(N$10-$M$10&lt;=$D166,$M166,0),"")</f>
        <v/>
      </c>
      <c r="N221" s="14" t="str">
        <f>IF(O$8=1,IF($C166&gt;0,IF(O$10-$E$10&lt;=$D166,$E166,0)+IF(O$10-$F$10&lt;=$D166,$F166,0)+IF(O$10-$G$10&lt;=$D166,$G166,0)+IF(O$10-$H$10&lt;=$D166,$H166,0)+IF(O$10-$I$10&lt;=$D166,$I166,0)+IF(O$10-$J$10&lt;=$D166,$J166,0)+IF(O$10-$K$10&lt;=$D166,$K166,0)+IF(O$10-$L$10&lt;=$D166,$L166,0),0)+IF(O$10-$M$10&lt;=$D166,$M166,0)+IF(O$10-$N$10&lt;=$D166,$N166,0),"")</f>
        <v/>
      </c>
      <c r="O221" s="14" t="str">
        <f>IF(P$8=1,IF($C166&gt;0,IF(P$10-$E$10&lt;=$D166,$E166,0)+IF(P$10-$F$10&lt;=$D166,$F166,0)+IF(P$10-$G$10&lt;=$D166,$G166,0)+IF(P$10-$H$10&lt;=$D166,$H166,0)+IF(P$10-$I$10&lt;=$D166,$I166,0)+IF(P$10-$J$10&lt;=$D166,$J166,0)+IF(P$10-$K$10&lt;=$D166,$K166,0)+IF(P$10-$L$10&lt;=$D166,$L166,0),0)+IF(P$10-$M$10&lt;=$D166,$M166,0)+IF(P$10-$N$10&lt;=$D166,$N166,0)+IF(P$10-$O$10&lt;=$D166,$O166,0),"")</f>
        <v/>
      </c>
      <c r="P221" s="14" t="str">
        <f>IF(Q$8=1,IF($C166&gt;0,IF(Q$10-$E$10&lt;=$D166,$E166,0)+IF(Q$10-$F$10&lt;=$D166,$F166,0)+IF(Q$10-$G$10&lt;=$D166,$G166,0)+IF(Q$10-$H$10&lt;=$D166,$H166,0)+IF(Q$10-$I$10&lt;=$D166,$I166,0)+IF(Q$10-$J$10&lt;=$D166,$J166,0)+IF(Q$10-$K$10&lt;=$D166,$K166,0)+IF(Q$10-$L$10&lt;=$D166,$L166,0),0)+IF(Q$10-$M$10&lt;=$D166,$M166,0)+IF(Q$10-$N$10&lt;=$D166,$N166,0)+IF(Q$10-$O$10&lt;=$D166,$O166,0)+IF(Q$10-$P$10&lt;=$D166,$P166,0),"")</f>
        <v/>
      </c>
      <c r="Q221" s="14" t="str">
        <f>IF(R$8=1,IF($C166&gt;0,IF(R$10-$E$10&lt;=$D166,$E166,0)+IF(R$10-$F$10&lt;=$D166,$F166,0)+IF(R$10-$G$10&lt;=$D166,$G166,0)+IF(R$10-$H$10&lt;=$D166,$H166,0)+IF(R$10-$I$10&lt;=$D166,$I166,0)+IF(R$10-$J$10&lt;=$D166,$J166,0)+IF(R$10-$K$10&lt;=$D166,$K166,0)+IF(R$10-$L$10&lt;=$D166,$L166,0),0)+IF(R$10-$M$10&lt;=$D166,$M166,0)+IF(R$10-$N$10&lt;=$D166,$N166,0)+IF(R$10-$O$10&lt;=$D166,$O166,0)+IF(R$10-$P$10&lt;=$D166,$P166,0)+IF(R$10-$Q$10&lt;=$D166,$Q166,0),"")</f>
        <v/>
      </c>
      <c r="R221" s="14" t="str">
        <f>IF(S$8=1,IF($C166&gt;0,IF(S$10-$E$10&lt;=$D166,$E166,0)+IF(S$10-$F$10&lt;=$D166,$F166,0)+IF(S$10-$G$10&lt;=$D166,$G166,0)+IF(S$10-$H$10&lt;=$D166,$H166,0)+IF(S$10-$I$10&lt;=$D166,$I166,0)+IF(S$10-$J$10&lt;=$D166,$J166,0)+IF(S$10-$K$10&lt;=$D166,$K166,0)+IF(S$10-$L$10&lt;=$D166,$L166,0),0)+IF(S$10-$M$10&lt;=$D166,$M166,0)+IF(S$10-$N$10&lt;=$D166,$N166,0)+IF(S$10-$O$10&lt;=$D166,$O166,0)+IF(S$10-$P$10&lt;=$D166,$P166,0)+IF(S$10-$Q$10&lt;=$D166,$Q166,0)+IF(S$10-$R$10&lt;=$D166,$R166,0),"")</f>
        <v/>
      </c>
      <c r="S221" s="14" t="str">
        <f>IF(T$8=1,IF($C166&gt;0,IF(T$10-$E$10&lt;=$D166,$E166,0)+IF(T$10-$F$10&lt;=$D166,$F166,0)+IF(T$10-$G$10&lt;=$D166,$G166,0)+IF(T$10-$H$10&lt;=$D166,$H166,0)+IF(T$10-$I$10&lt;=$D166,$I166,0)+IF(T$10-$J$10&lt;=$D166,$J166,0)+IF(T$10-$K$10&lt;=$D166,$K166,0)+IF(T$10-$L$10&lt;=$D166,$L166,0),0)+IF(T$10-$M$10&lt;=$D166,$M166,0)+IF(T$10-$N$10&lt;=$D166,$N166,0)+IF(T$10-$O$10&lt;=$D166,$O166,0)+IF(T$10-$P$10&lt;=$D166,$P166,0)+IF(T$10-$Q$10&lt;=$D166,$Q166,0)+IF(T$10-$R$10&lt;=$D166,$R166,0)+IF(T$10-$S$10&lt;=$D166,$S166,0),"")</f>
        <v/>
      </c>
    </row>
    <row r="222" spans="2:22"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</row>
    <row r="223" spans="2:22">
      <c r="B223" s="46" t="s">
        <v>125</v>
      </c>
      <c r="C223" s="39"/>
      <c r="D223" s="39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22">
      <c r="B224" s="21" t="s">
        <v>126</v>
      </c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</row>
    <row r="225" spans="2:19">
      <c r="B225" s="50" t="str">
        <f>B170</f>
        <v>PD 1</v>
      </c>
      <c r="C225" s="51">
        <f>IF(C170&gt;0,C170,"")</f>
        <v>0.1</v>
      </c>
      <c r="D225" s="39"/>
      <c r="E225" s="14">
        <f>IF(F$8=1,IF($C170&gt;0,IF(F$10-$E$10&lt;=$D170,$E170,0),0),"")</f>
        <v>3000</v>
      </c>
      <c r="F225" s="14">
        <f>IF(G$8=1,IF($C170&gt;0,IF(G$10-$E$10&lt;=$D170,$E170,0)+IF(G$10-$F$10&lt;=$D170,$F170,0),0),"")</f>
        <v>3000</v>
      </c>
      <c r="G225" s="14" t="str">
        <f>IF(H$8=1,IF($C170&gt;0,IF(H$10-$E$10&lt;=$D170,$E170,0)+IF(H$10-$F$10&lt;=$D170,$F170,0)+IF(H$10-$G$10&lt;=$D170,$G170,0),0),"")</f>
        <v/>
      </c>
      <c r="H225" s="14" t="str">
        <f>IF(I$8=1,IF($C170&gt;0,IF(I$10-$E$10&lt;=$D170,$E170,0)+IF(I$10-$F$10&lt;=$D170,$F170,0)+IF(I$10-$G$10&lt;=$D170,$G170,0)+IF(I$10-$H$10&lt;=$D170,$H170,0),0),"")</f>
        <v/>
      </c>
      <c r="I225" s="14" t="str">
        <f>IF(J$8=1,IF($C170&gt;0,IF(J$10-$E$10&lt;=$D170,$E170,0)+IF(J$10-$F$10&lt;=$D170,$F170,0)+IF(J$10-$G$10&lt;=$D170,$G170,0)+IF(J$10-$H$10&lt;=$D170,$H170,0)+IF(J$10-$I$10&lt;=$D170,$I170,0),0),"")</f>
        <v/>
      </c>
      <c r="J225" s="14" t="str">
        <f>IF(K$8=1,IF($C170&gt;0,IF(K$10-$E$10&lt;=$D170,$E170,0)+IF(K$10-$F$10&lt;=$D170,$F170,0)+IF(K$10-$G$10&lt;=$D170,$G170,0)+IF(K$10-$H$10&lt;=$D170,$H170,0)+IF(K$10-$I$10&lt;=$D170,$I170,0)+IF(K$10-$J$10&lt;=$D170,$J170,0),0),"")</f>
        <v/>
      </c>
      <c r="K225" s="14" t="str">
        <f>IF(L$8=1,IF($C170&gt;0,IF(L$10-$E$10&lt;=$D170,$E170,0)+IF(L$10-$F$10&lt;=$D170,$F170,0)+IF(L$10-$G$10&lt;=$D170,$G170,0)+IF(L$10-$H$10&lt;=$D170,$H170,0)+IF(L$10-$I$10&lt;=$D170,$I170,0)+IF(L$10-$J$10&lt;=$D170,$J170,0)+IF(L$10-$K$10&lt;=$D170,$K170,0),0),"")</f>
        <v/>
      </c>
      <c r="L225" s="14" t="str">
        <f>IF(M$8=1,IF($C170&gt;0,IF(M$10-$E$10&lt;=$D170,$E170,0)+IF(M$10-$F$10&lt;=$D170,$F170,0)+IF(M$10-$G$10&lt;=$D170,$G170,0)+IF(M$10-$H$10&lt;=$D170,$H170,0)+IF(M$10-$I$10&lt;=$D170,$I170,0)+IF(M$10-$J$10&lt;=$D170,$J170,0)+IF(M$10-$K$10&lt;=$D170,$K170,0)+IF(M$10-$L$10&lt;=$D170,$L170,0),0),"")</f>
        <v/>
      </c>
      <c r="M225" s="14" t="str">
        <f>IF(N$8=1,IF($C170&gt;0,IF(N$10-$E$10&lt;=$D170,$E170,0)+IF(N$10-$F$10&lt;=$D170,$F170,0)+IF(N$10-$G$10&lt;=$D170,$G170,0)+IF(N$10-$H$10&lt;=$D170,$H170,0)+IF(N$10-$I$10&lt;=$D170,$I170,0)+IF(N$10-$J$10&lt;=$D170,$J170,0)+IF(N$10-$K$10&lt;=$D170,$K170,0)+IF(N$10-$L$10&lt;=$D170,$L170,0),0)+IF(N$10-$M$10&lt;=$D170,$M170,0),"")</f>
        <v/>
      </c>
      <c r="N225" s="14" t="str">
        <f>IF(O$8=1,IF($C170&gt;0,IF(O$10-$E$10&lt;=$D170,$E170,0)+IF(O$10-$F$10&lt;=$D170,$F170,0)+IF(O$10-$G$10&lt;=$D170,$G170,0)+IF(O$10-$H$10&lt;=$D170,$H170,0)+IF(O$10-$I$10&lt;=$D170,$I170,0)+IF(O$10-$J$10&lt;=$D170,$J170,0)+IF(O$10-$K$10&lt;=$D170,$K170,0)+IF(O$10-$L$10&lt;=$D170,$L170,0),0)+IF(O$10-$M$10&lt;=$D170,$M170,0)+IF(O$10-$N$10&lt;=$D170,$N170,0),"")</f>
        <v/>
      </c>
      <c r="O225" s="14" t="str">
        <f>IF(P$8=1,IF($C170&gt;0,IF(P$10-$E$10&lt;=$D170,$E170,0)+IF(P$10-$F$10&lt;=$D170,$F170,0)+IF(P$10-$G$10&lt;=$D170,$G170,0)+IF(P$10-$H$10&lt;=$D170,$H170,0)+IF(P$10-$I$10&lt;=$D170,$I170,0)+IF(P$10-$J$10&lt;=$D170,$J170,0)+IF(P$10-$K$10&lt;=$D170,$K170,0)+IF(P$10-$L$10&lt;=$D170,$L170,0),0)+IF(P$10-$M$10&lt;=$D170,$M170,0)+IF(P$10-$N$10&lt;=$D170,$N170,0)+IF(P$10-$O$10&lt;=$D170,$O170,0),"")</f>
        <v/>
      </c>
      <c r="P225" s="14" t="str">
        <f>IF(Q$8=1,IF($C170&gt;0,IF(Q$10-$E$10&lt;=$D170,$E170,0)+IF(Q$10-$F$10&lt;=$D170,$F170,0)+IF(Q$10-$G$10&lt;=$D170,$G170,0)+IF(Q$10-$H$10&lt;=$D170,$H170,0)+IF(Q$10-$I$10&lt;=$D170,$I170,0)+IF(Q$10-$J$10&lt;=$D170,$J170,0)+IF(Q$10-$K$10&lt;=$D170,$K170,0)+IF(Q$10-$L$10&lt;=$D170,$L170,0),0)+IF(Q$10-$M$10&lt;=$D170,$M170,0)+IF(Q$10-$N$10&lt;=$D170,$N170,0)+IF(Q$10-$O$10&lt;=$D170,$O170,0)+IF(Q$10-$P$10&lt;=$D170,$P170,0),"")</f>
        <v/>
      </c>
      <c r="Q225" s="14" t="str">
        <f>IF(R$8=1,IF($C170&gt;0,IF(R$10-$E$10&lt;=$D170,$E170,0)+IF(R$10-$F$10&lt;=$D170,$F170,0)+IF(R$10-$G$10&lt;=$D170,$G170,0)+IF(R$10-$H$10&lt;=$D170,$H170,0)+IF(R$10-$I$10&lt;=$D170,$I170,0)+IF(R$10-$J$10&lt;=$D170,$J170,0)+IF(R$10-$K$10&lt;=$D170,$K170,0)+IF(R$10-$L$10&lt;=$D170,$L170,0),0)+IF(R$10-$M$10&lt;=$D170,$M170,0)+IF(R$10-$N$10&lt;=$D170,$N170,0)+IF(R$10-$O$10&lt;=$D170,$O170,0)+IF(R$10-$P$10&lt;=$D170,$P170,0)+IF(R$10-$Q$10&lt;=$D170,$Q170,0),"")</f>
        <v/>
      </c>
      <c r="R225" s="14" t="str">
        <f>IF(S$8=1,IF($C170&gt;0,IF(S$10-$E$10&lt;=$D170,$E170,0)+IF(S$10-$F$10&lt;=$D170,$F170,0)+IF(S$10-$G$10&lt;=$D170,$G170,0)+IF(S$10-$H$10&lt;=$D170,$H170,0)+IF(S$10-$I$10&lt;=$D170,$I170,0)+IF(S$10-$J$10&lt;=$D170,$J170,0)+IF(S$10-$K$10&lt;=$D170,$K170,0)+IF(S$10-$L$10&lt;=$D170,$L170,0),0)+IF(S$10-$M$10&lt;=$D170,$M170,0)+IF(S$10-$N$10&lt;=$D170,$N170,0)+IF(S$10-$O$10&lt;=$D170,$O170,0)+IF(S$10-$P$10&lt;=$D170,$P170,0)+IF(S$10-$Q$10&lt;=$D170,$Q170,0)+IF(S$10-$R$10&lt;=$D170,$R170,0),"")</f>
        <v/>
      </c>
      <c r="S225" s="14" t="str">
        <f>IF(T$8=1,IF($C170&gt;0,IF(T$10-$E$10&lt;=$D170,$E170,0)+IF(T$10-$F$10&lt;=$D170,$F170,0)+IF(T$10-$G$10&lt;=$D170,$G170,0)+IF(T$10-$H$10&lt;=$D170,$H170,0)+IF(T$10-$I$10&lt;=$D170,$I170,0)+IF(T$10-$J$10&lt;=$D170,$J170,0)+IF(T$10-$K$10&lt;=$D170,$K170,0)+IF(T$10-$L$10&lt;=$D170,$L170,0),0)+IF(T$10-$M$10&lt;=$D170,$M170,0)+IF(T$10-$N$10&lt;=$D170,$N170,0)+IF(T$10-$O$10&lt;=$D170,$O170,0)+IF(T$10-$P$10&lt;=$D170,$P170,0)+IF(T$10-$Q$10&lt;=$D170,$Q170,0)+IF(T$10-$R$10&lt;=$D170,$R170,0)+IF(T$10-$S$10&lt;=$D170,$S170,0),"")</f>
        <v/>
      </c>
    </row>
    <row r="226" spans="2:19">
      <c r="B226" s="50" t="str">
        <f>B171</f>
        <v>PD 2</v>
      </c>
      <c r="C226" s="51" t="str">
        <f>IF(C171&gt;0,C171,"")</f>
        <v/>
      </c>
      <c r="D226" s="39"/>
      <c r="E226" s="14">
        <f>IF(F$8=1,IF($C171&gt;0,IF(F$10-$E$10&lt;=$D171,$E171,0),0),"")</f>
        <v>0</v>
      </c>
      <c r="F226" s="14">
        <f>IF(G$8=1,IF($C171&gt;0,IF(G$10-$E$10&lt;=$D171,$E171,0)+IF(G$10-$F$10&lt;=$D171,$F171,0),0),"")</f>
        <v>0</v>
      </c>
      <c r="G226" s="14" t="str">
        <f>IF(H$8=1,IF($C171&gt;0,IF(H$10-$E$10&lt;=$D171,$E171,0)+IF(H$10-$F$10&lt;=$D171,$F171,0)+IF(H$10-$G$10&lt;=$D171,$G171,0),0),"")</f>
        <v/>
      </c>
      <c r="H226" s="14" t="str">
        <f>IF(I$8=1,IF($C171&gt;0,IF(I$10-$E$10&lt;=$D171,$E171,0)+IF(I$10-$F$10&lt;=$D171,$F171,0)+IF(I$10-$G$10&lt;=$D171,$G171,0)+IF(I$10-$H$10&lt;=$D171,$H171,0),0),"")</f>
        <v/>
      </c>
      <c r="I226" s="14" t="str">
        <f>IF(J$8=1,IF($C171&gt;0,IF(J$10-$E$10&lt;=$D171,$E171,0)+IF(J$10-$F$10&lt;=$D171,$F171,0)+IF(J$10-$G$10&lt;=$D171,$G171,0)+IF(J$10-$H$10&lt;=$D171,$H171,0)+IF(J$10-$I$10&lt;=$D171,$I171,0),0),"")</f>
        <v/>
      </c>
      <c r="J226" s="14" t="str">
        <f>IF(K$8=1,IF($C171&gt;0,IF(K$10-$E$10&lt;=$D171,$E171,0)+IF(K$10-$F$10&lt;=$D171,$F171,0)+IF(K$10-$G$10&lt;=$D171,$G171,0)+IF(K$10-$H$10&lt;=$D171,$H171,0)+IF(K$10-$I$10&lt;=$D171,$I171,0)+IF(K$10-$J$10&lt;=$D171,$J171,0),0),"")</f>
        <v/>
      </c>
      <c r="K226" s="14" t="str">
        <f>IF(L$8=1,IF($C171&gt;0,IF(L$10-$E$10&lt;=$D171,$E171,0)+IF(L$10-$F$10&lt;=$D171,$F171,0)+IF(L$10-$G$10&lt;=$D171,$G171,0)+IF(L$10-$H$10&lt;=$D171,$H171,0)+IF(L$10-$I$10&lt;=$D171,$I171,0)+IF(L$10-$J$10&lt;=$D171,$J171,0)+IF(L$10-$K$10&lt;=$D171,$K171,0),0),"")</f>
        <v/>
      </c>
      <c r="L226" s="14" t="str">
        <f>IF(M$8=1,IF($C171&gt;0,IF(M$10-$E$10&lt;=$D171,$E171,0)+IF(M$10-$F$10&lt;=$D171,$F171,0)+IF(M$10-$G$10&lt;=$D171,$G171,0)+IF(M$10-$H$10&lt;=$D171,$H171,0)+IF(M$10-$I$10&lt;=$D171,$I171,0)+IF(M$10-$J$10&lt;=$D171,$J171,0)+IF(M$10-$K$10&lt;=$D171,$K171,0)+IF(M$10-$L$10&lt;=$D171,$L171,0),0),"")</f>
        <v/>
      </c>
      <c r="M226" s="14" t="str">
        <f>IF(N$8=1,IF($C171&gt;0,IF(N$10-$E$10&lt;=$D171,$E171,0)+IF(N$10-$F$10&lt;=$D171,$F171,0)+IF(N$10-$G$10&lt;=$D171,$G171,0)+IF(N$10-$H$10&lt;=$D171,$H171,0)+IF(N$10-$I$10&lt;=$D171,$I171,0)+IF(N$10-$J$10&lt;=$D171,$J171,0)+IF(N$10-$K$10&lt;=$D171,$K171,0)+IF(N$10-$L$10&lt;=$D171,$L171,0),0)+IF(N$10-$M$10&lt;=$D171,$M171,0),"")</f>
        <v/>
      </c>
      <c r="N226" s="14" t="str">
        <f>IF(O$8=1,IF($C171&gt;0,IF(O$10-$E$10&lt;=$D171,$E171,0)+IF(O$10-$F$10&lt;=$D171,$F171,0)+IF(O$10-$G$10&lt;=$D171,$G171,0)+IF(O$10-$H$10&lt;=$D171,$H171,0)+IF(O$10-$I$10&lt;=$D171,$I171,0)+IF(O$10-$J$10&lt;=$D171,$J171,0)+IF(O$10-$K$10&lt;=$D171,$K171,0)+IF(O$10-$L$10&lt;=$D171,$L171,0),0)+IF(O$10-$M$10&lt;=$D171,$M171,0)+IF(O$10-$N$10&lt;=$D171,$N171,0),"")</f>
        <v/>
      </c>
      <c r="O226" s="14" t="str">
        <f>IF(P$8=1,IF($C171&gt;0,IF(P$10-$E$10&lt;=$D171,$E171,0)+IF(P$10-$F$10&lt;=$D171,$F171,0)+IF(P$10-$G$10&lt;=$D171,$G171,0)+IF(P$10-$H$10&lt;=$D171,$H171,0)+IF(P$10-$I$10&lt;=$D171,$I171,0)+IF(P$10-$J$10&lt;=$D171,$J171,0)+IF(P$10-$K$10&lt;=$D171,$K171,0)+IF(P$10-$L$10&lt;=$D171,$L171,0),0)+IF(P$10-$M$10&lt;=$D171,$M171,0)+IF(P$10-$N$10&lt;=$D171,$N171,0)+IF(P$10-$O$10&lt;=$D171,$O171,0),"")</f>
        <v/>
      </c>
      <c r="P226" s="14" t="str">
        <f>IF(Q$8=1,IF($C171&gt;0,IF(Q$10-$E$10&lt;=$D171,$E171,0)+IF(Q$10-$F$10&lt;=$D171,$F171,0)+IF(Q$10-$G$10&lt;=$D171,$G171,0)+IF(Q$10-$H$10&lt;=$D171,$H171,0)+IF(Q$10-$I$10&lt;=$D171,$I171,0)+IF(Q$10-$J$10&lt;=$D171,$J171,0)+IF(Q$10-$K$10&lt;=$D171,$K171,0)+IF(Q$10-$L$10&lt;=$D171,$L171,0),0)+IF(Q$10-$M$10&lt;=$D171,$M171,0)+IF(Q$10-$N$10&lt;=$D171,$N171,0)+IF(Q$10-$O$10&lt;=$D171,$O171,0)+IF(Q$10-$P$10&lt;=$D171,$P171,0),"")</f>
        <v/>
      </c>
      <c r="Q226" s="14" t="str">
        <f>IF(R$8=1,IF($C171&gt;0,IF(R$10-$E$10&lt;=$D171,$E171,0)+IF(R$10-$F$10&lt;=$D171,$F171,0)+IF(R$10-$G$10&lt;=$D171,$G171,0)+IF(R$10-$H$10&lt;=$D171,$H171,0)+IF(R$10-$I$10&lt;=$D171,$I171,0)+IF(R$10-$J$10&lt;=$D171,$J171,0)+IF(R$10-$K$10&lt;=$D171,$K171,0)+IF(R$10-$L$10&lt;=$D171,$L171,0),0)+IF(R$10-$M$10&lt;=$D171,$M171,0)+IF(R$10-$N$10&lt;=$D171,$N171,0)+IF(R$10-$O$10&lt;=$D171,$O171,0)+IF(R$10-$P$10&lt;=$D171,$P171,0)+IF(R$10-$Q$10&lt;=$D171,$Q171,0),"")</f>
        <v/>
      </c>
      <c r="R226" s="14" t="str">
        <f>IF(S$8=1,IF($C171&gt;0,IF(S$10-$E$10&lt;=$D171,$E171,0)+IF(S$10-$F$10&lt;=$D171,$F171,0)+IF(S$10-$G$10&lt;=$D171,$G171,0)+IF(S$10-$H$10&lt;=$D171,$H171,0)+IF(S$10-$I$10&lt;=$D171,$I171,0)+IF(S$10-$J$10&lt;=$D171,$J171,0)+IF(S$10-$K$10&lt;=$D171,$K171,0)+IF(S$10-$L$10&lt;=$D171,$L171,0),0)+IF(S$10-$M$10&lt;=$D171,$M171,0)+IF(S$10-$N$10&lt;=$D171,$N171,0)+IF(S$10-$O$10&lt;=$D171,$O171,0)+IF(S$10-$P$10&lt;=$D171,$P171,0)+IF(S$10-$Q$10&lt;=$D171,$Q171,0)+IF(S$10-$R$10&lt;=$D171,$R171,0),"")</f>
        <v/>
      </c>
      <c r="S226" s="14" t="str">
        <f>IF(T$8=1,IF($C171&gt;0,IF(T$10-$E$10&lt;=$D171,$E171,0)+IF(T$10-$F$10&lt;=$D171,$F171,0)+IF(T$10-$G$10&lt;=$D171,$G171,0)+IF(T$10-$H$10&lt;=$D171,$H171,0)+IF(T$10-$I$10&lt;=$D171,$I171,0)+IF(T$10-$J$10&lt;=$D171,$J171,0)+IF(T$10-$K$10&lt;=$D171,$K171,0)+IF(T$10-$L$10&lt;=$D171,$L171,0),0)+IF(T$10-$M$10&lt;=$D171,$M171,0)+IF(T$10-$N$10&lt;=$D171,$N171,0)+IF(T$10-$O$10&lt;=$D171,$O171,0)+IF(T$10-$P$10&lt;=$D171,$P171,0)+IF(T$10-$Q$10&lt;=$D171,$Q171,0)+IF(T$10-$R$10&lt;=$D171,$R171,0)+IF(T$10-$S$10&lt;=$D171,$S171,0),"")</f>
        <v/>
      </c>
    </row>
    <row r="227" spans="2:19">
      <c r="B227" s="50" t="str">
        <f>B172</f>
        <v>PD 3</v>
      </c>
      <c r="C227" s="51" t="str">
        <f>IF(C172&gt;0,C172,"")</f>
        <v/>
      </c>
      <c r="D227" s="39"/>
      <c r="E227" s="14">
        <f>IF(F$8=1,IF($C172&gt;0,IF(F$10-$E$10&lt;=$D172,$E172,0),0),"")</f>
        <v>0</v>
      </c>
      <c r="F227" s="14">
        <f>IF(G$8=1,IF($C172&gt;0,IF(G$10-$E$10&lt;=$D172,$E172,0)+IF(G$10-$F$10&lt;=$D172,$F172,0),0),"")</f>
        <v>0</v>
      </c>
      <c r="G227" s="14" t="str">
        <f>IF(H$8=1,IF($C172&gt;0,IF(H$10-$E$10&lt;=$D172,$E172,0)+IF(H$10-$F$10&lt;=$D172,$F172,0)+IF(H$10-$G$10&lt;=$D172,$G172,0),0),"")</f>
        <v/>
      </c>
      <c r="H227" s="14" t="str">
        <f>IF(I$8=1,IF($C172&gt;0,IF(I$10-$E$10&lt;=$D172,$E172,0)+IF(I$10-$F$10&lt;=$D172,$F172,0)+IF(I$10-$G$10&lt;=$D172,$G172,0)+IF(I$10-$H$10&lt;=$D172,$H172,0),0),"")</f>
        <v/>
      </c>
      <c r="I227" s="14" t="str">
        <f>IF(J$8=1,IF($C172&gt;0,IF(J$10-$E$10&lt;=$D172,$E172,0)+IF(J$10-$F$10&lt;=$D172,$F172,0)+IF(J$10-$G$10&lt;=$D172,$G172,0)+IF(J$10-$H$10&lt;=$D172,$H172,0)+IF(J$10-$I$10&lt;=$D172,$I172,0),0),"")</f>
        <v/>
      </c>
      <c r="J227" s="14" t="str">
        <f>IF(K$8=1,IF($C172&gt;0,IF(K$10-$E$10&lt;=$D172,$E172,0)+IF(K$10-$F$10&lt;=$D172,$F172,0)+IF(K$10-$G$10&lt;=$D172,$G172,0)+IF(K$10-$H$10&lt;=$D172,$H172,0)+IF(K$10-$I$10&lt;=$D172,$I172,0)+IF(K$10-$J$10&lt;=$D172,$J172,0),0),"")</f>
        <v/>
      </c>
      <c r="K227" s="14" t="str">
        <f>IF(L$8=1,IF($C172&gt;0,IF(L$10-$E$10&lt;=$D172,$E172,0)+IF(L$10-$F$10&lt;=$D172,$F172,0)+IF(L$10-$G$10&lt;=$D172,$G172,0)+IF(L$10-$H$10&lt;=$D172,$H172,0)+IF(L$10-$I$10&lt;=$D172,$I172,0)+IF(L$10-$J$10&lt;=$D172,$J172,0)+IF(L$10-$K$10&lt;=$D172,$K172,0),0),"")</f>
        <v/>
      </c>
      <c r="L227" s="14" t="str">
        <f>IF(M$8=1,IF($C172&gt;0,IF(M$10-$E$10&lt;=$D172,$E172,0)+IF(M$10-$F$10&lt;=$D172,$F172,0)+IF(M$10-$G$10&lt;=$D172,$G172,0)+IF(M$10-$H$10&lt;=$D172,$H172,0)+IF(M$10-$I$10&lt;=$D172,$I172,0)+IF(M$10-$J$10&lt;=$D172,$J172,0)+IF(M$10-$K$10&lt;=$D172,$K172,0)+IF(M$10-$L$10&lt;=$D172,$L172,0),0),"")</f>
        <v/>
      </c>
      <c r="M227" s="14" t="str">
        <f>IF(N$8=1,IF($C172&gt;0,IF(N$10-$E$10&lt;=$D172,$E172,0)+IF(N$10-$F$10&lt;=$D172,$F172,0)+IF(N$10-$G$10&lt;=$D172,$G172,0)+IF(N$10-$H$10&lt;=$D172,$H172,0)+IF(N$10-$I$10&lt;=$D172,$I172,0)+IF(N$10-$J$10&lt;=$D172,$J172,0)+IF(N$10-$K$10&lt;=$D172,$K172,0)+IF(N$10-$L$10&lt;=$D172,$L172,0),0)+IF(N$10-$M$10&lt;=$D172,$M172,0),"")</f>
        <v/>
      </c>
      <c r="N227" s="14" t="str">
        <f>IF(O$8=1,IF($C172&gt;0,IF(O$10-$E$10&lt;=$D172,$E172,0)+IF(O$10-$F$10&lt;=$D172,$F172,0)+IF(O$10-$G$10&lt;=$D172,$G172,0)+IF(O$10-$H$10&lt;=$D172,$H172,0)+IF(O$10-$I$10&lt;=$D172,$I172,0)+IF(O$10-$J$10&lt;=$D172,$J172,0)+IF(O$10-$K$10&lt;=$D172,$K172,0)+IF(O$10-$L$10&lt;=$D172,$L172,0),0)+IF(O$10-$M$10&lt;=$D172,$M172,0)+IF(O$10-$N$10&lt;=$D172,$N172,0),"")</f>
        <v/>
      </c>
      <c r="O227" s="14" t="str">
        <f>IF(P$8=1,IF($C172&gt;0,IF(P$10-$E$10&lt;=$D172,$E172,0)+IF(P$10-$F$10&lt;=$D172,$F172,0)+IF(P$10-$G$10&lt;=$D172,$G172,0)+IF(P$10-$H$10&lt;=$D172,$H172,0)+IF(P$10-$I$10&lt;=$D172,$I172,0)+IF(P$10-$J$10&lt;=$D172,$J172,0)+IF(P$10-$K$10&lt;=$D172,$K172,0)+IF(P$10-$L$10&lt;=$D172,$L172,0),0)+IF(P$10-$M$10&lt;=$D172,$M172,0)+IF(P$10-$N$10&lt;=$D172,$N172,0)+IF(P$10-$O$10&lt;=$D172,$O172,0),"")</f>
        <v/>
      </c>
      <c r="P227" s="14" t="str">
        <f>IF(Q$8=1,IF($C172&gt;0,IF(Q$10-$E$10&lt;=$D172,$E172,0)+IF(Q$10-$F$10&lt;=$D172,$F172,0)+IF(Q$10-$G$10&lt;=$D172,$G172,0)+IF(Q$10-$H$10&lt;=$D172,$H172,0)+IF(Q$10-$I$10&lt;=$D172,$I172,0)+IF(Q$10-$J$10&lt;=$D172,$J172,0)+IF(Q$10-$K$10&lt;=$D172,$K172,0)+IF(Q$10-$L$10&lt;=$D172,$L172,0),0)+IF(Q$10-$M$10&lt;=$D172,$M172,0)+IF(Q$10-$N$10&lt;=$D172,$N172,0)+IF(Q$10-$O$10&lt;=$D172,$O172,0)+IF(Q$10-$P$10&lt;=$D172,$P172,0),"")</f>
        <v/>
      </c>
      <c r="Q227" s="14" t="str">
        <f>IF(R$8=1,IF($C172&gt;0,IF(R$10-$E$10&lt;=$D172,$E172,0)+IF(R$10-$F$10&lt;=$D172,$F172,0)+IF(R$10-$G$10&lt;=$D172,$G172,0)+IF(R$10-$H$10&lt;=$D172,$H172,0)+IF(R$10-$I$10&lt;=$D172,$I172,0)+IF(R$10-$J$10&lt;=$D172,$J172,0)+IF(R$10-$K$10&lt;=$D172,$K172,0)+IF(R$10-$L$10&lt;=$D172,$L172,0),0)+IF(R$10-$M$10&lt;=$D172,$M172,0)+IF(R$10-$N$10&lt;=$D172,$N172,0)+IF(R$10-$O$10&lt;=$D172,$O172,0)+IF(R$10-$P$10&lt;=$D172,$P172,0)+IF(R$10-$Q$10&lt;=$D172,$Q172,0),"")</f>
        <v/>
      </c>
      <c r="R227" s="14" t="str">
        <f>IF(S$8=1,IF($C172&gt;0,IF(S$10-$E$10&lt;=$D172,$E172,0)+IF(S$10-$F$10&lt;=$D172,$F172,0)+IF(S$10-$G$10&lt;=$D172,$G172,0)+IF(S$10-$H$10&lt;=$D172,$H172,0)+IF(S$10-$I$10&lt;=$D172,$I172,0)+IF(S$10-$J$10&lt;=$D172,$J172,0)+IF(S$10-$K$10&lt;=$D172,$K172,0)+IF(S$10-$L$10&lt;=$D172,$L172,0),0)+IF(S$10-$M$10&lt;=$D172,$M172,0)+IF(S$10-$N$10&lt;=$D172,$N172,0)+IF(S$10-$O$10&lt;=$D172,$O172,0)+IF(S$10-$P$10&lt;=$D172,$P172,0)+IF(S$10-$Q$10&lt;=$D172,$Q172,0)+IF(S$10-$R$10&lt;=$D172,$R172,0),"")</f>
        <v/>
      </c>
      <c r="S227" s="14" t="str">
        <f>IF(T$8=1,IF($C172&gt;0,IF(T$10-$E$10&lt;=$D172,$E172,0)+IF(T$10-$F$10&lt;=$D172,$F172,0)+IF(T$10-$G$10&lt;=$D172,$G172,0)+IF(T$10-$H$10&lt;=$D172,$H172,0)+IF(T$10-$I$10&lt;=$D172,$I172,0)+IF(T$10-$J$10&lt;=$D172,$J172,0)+IF(T$10-$K$10&lt;=$D172,$K172,0)+IF(T$10-$L$10&lt;=$D172,$L172,0),0)+IF(T$10-$M$10&lt;=$D172,$M172,0)+IF(T$10-$N$10&lt;=$D172,$N172,0)+IF(T$10-$O$10&lt;=$D172,$O172,0)+IF(T$10-$P$10&lt;=$D172,$P172,0)+IF(T$10-$Q$10&lt;=$D172,$Q172,0)+IF(T$10-$R$10&lt;=$D172,$R172,0)+IF(T$10-$S$10&lt;=$D172,$S172,0),"")</f>
        <v/>
      </c>
    </row>
    <row r="228" spans="2:19">
      <c r="B228" s="50" t="str">
        <f>B173</f>
        <v>PD 4</v>
      </c>
      <c r="C228" s="51" t="str">
        <f>IF(C173&gt;0,C173,"")</f>
        <v/>
      </c>
      <c r="D228" s="39"/>
      <c r="E228" s="14">
        <f>IF(F$8=1,IF($C173&gt;0,IF(F$10-$E$10&lt;=$D173,$E173,0),0),"")</f>
        <v>0</v>
      </c>
      <c r="F228" s="14">
        <f>IF(G$8=1,IF($C173&gt;0,IF(G$10-$E$10&lt;=$D173,$E173,0)+IF(G$10-$F$10&lt;=$D173,$F173,0),0),"")</f>
        <v>0</v>
      </c>
      <c r="G228" s="14" t="str">
        <f>IF(H$8=1,IF($C173&gt;0,IF(H$10-$E$10&lt;=$D173,$E173,0)+IF(H$10-$F$10&lt;=$D173,$F173,0)+IF(H$10-$G$10&lt;=$D173,$G173,0),0),"")</f>
        <v/>
      </c>
      <c r="H228" s="14" t="str">
        <f>IF(I$8=1,IF($C173&gt;0,IF(I$10-$E$10&lt;=$D173,$E173,0)+IF(I$10-$F$10&lt;=$D173,$F173,0)+IF(I$10-$G$10&lt;=$D173,$G173,0)+IF(I$10-$H$10&lt;=$D173,$H173,0),0),"")</f>
        <v/>
      </c>
      <c r="I228" s="14" t="str">
        <f>IF(J$8=1,IF($C173&gt;0,IF(J$10-$E$10&lt;=$D173,$E173,0)+IF(J$10-$F$10&lt;=$D173,$F173,0)+IF(J$10-$G$10&lt;=$D173,$G173,0)+IF(J$10-$H$10&lt;=$D173,$H173,0)+IF(J$10-$I$10&lt;=$D173,$I173,0),0),"")</f>
        <v/>
      </c>
      <c r="J228" s="14" t="str">
        <f>IF(K$8=1,IF($C173&gt;0,IF(K$10-$E$10&lt;=$D173,$E173,0)+IF(K$10-$F$10&lt;=$D173,$F173,0)+IF(K$10-$G$10&lt;=$D173,$G173,0)+IF(K$10-$H$10&lt;=$D173,$H173,0)+IF(K$10-$I$10&lt;=$D173,$I173,0)+IF(K$10-$J$10&lt;=$D173,$J173,0),0),"")</f>
        <v/>
      </c>
      <c r="K228" s="14" t="str">
        <f>IF(L$8=1,IF($C173&gt;0,IF(L$10-$E$10&lt;=$D173,$E173,0)+IF(L$10-$F$10&lt;=$D173,$F173,0)+IF(L$10-$G$10&lt;=$D173,$G173,0)+IF(L$10-$H$10&lt;=$D173,$H173,0)+IF(L$10-$I$10&lt;=$D173,$I173,0)+IF(L$10-$J$10&lt;=$D173,$J173,0)+IF(L$10-$K$10&lt;=$D173,$K173,0),0),"")</f>
        <v/>
      </c>
      <c r="L228" s="14" t="str">
        <f>IF(M$8=1,IF($C173&gt;0,IF(M$10-$E$10&lt;=$D173,$E173,0)+IF(M$10-$F$10&lt;=$D173,$F173,0)+IF(M$10-$G$10&lt;=$D173,$G173,0)+IF(M$10-$H$10&lt;=$D173,$H173,0)+IF(M$10-$I$10&lt;=$D173,$I173,0)+IF(M$10-$J$10&lt;=$D173,$J173,0)+IF(M$10-$K$10&lt;=$D173,$K173,0)+IF(M$10-$L$10&lt;=$D173,$L173,0),0),"")</f>
        <v/>
      </c>
      <c r="M228" s="14" t="str">
        <f>IF(N$8=1,IF($C173&gt;0,IF(N$10-$E$10&lt;=$D173,$E173,0)+IF(N$10-$F$10&lt;=$D173,$F173,0)+IF(N$10-$G$10&lt;=$D173,$G173,0)+IF(N$10-$H$10&lt;=$D173,$H173,0)+IF(N$10-$I$10&lt;=$D173,$I173,0)+IF(N$10-$J$10&lt;=$D173,$J173,0)+IF(N$10-$K$10&lt;=$D173,$K173,0)+IF(N$10-$L$10&lt;=$D173,$L173,0),0)+IF(N$10-$M$10&lt;=$D173,$M173,0),"")</f>
        <v/>
      </c>
      <c r="N228" s="14" t="str">
        <f>IF(O$8=1,IF($C173&gt;0,IF(O$10-$E$10&lt;=$D173,$E173,0)+IF(O$10-$F$10&lt;=$D173,$F173,0)+IF(O$10-$G$10&lt;=$D173,$G173,0)+IF(O$10-$H$10&lt;=$D173,$H173,0)+IF(O$10-$I$10&lt;=$D173,$I173,0)+IF(O$10-$J$10&lt;=$D173,$J173,0)+IF(O$10-$K$10&lt;=$D173,$K173,0)+IF(O$10-$L$10&lt;=$D173,$L173,0),0)+IF(O$10-$M$10&lt;=$D173,$M173,0)+IF(O$10-$N$10&lt;=$D173,$N173,0),"")</f>
        <v/>
      </c>
      <c r="O228" s="14" t="str">
        <f>IF(P$8=1,IF($C173&gt;0,IF(P$10-$E$10&lt;=$D173,$E173,0)+IF(P$10-$F$10&lt;=$D173,$F173,0)+IF(P$10-$G$10&lt;=$D173,$G173,0)+IF(P$10-$H$10&lt;=$D173,$H173,0)+IF(P$10-$I$10&lt;=$D173,$I173,0)+IF(P$10-$J$10&lt;=$D173,$J173,0)+IF(P$10-$K$10&lt;=$D173,$K173,0)+IF(P$10-$L$10&lt;=$D173,$L173,0),0)+IF(P$10-$M$10&lt;=$D173,$M173,0)+IF(P$10-$N$10&lt;=$D173,$N173,0)+IF(P$10-$O$10&lt;=$D173,$O173,0),"")</f>
        <v/>
      </c>
      <c r="P228" s="14" t="str">
        <f>IF(Q$8=1,IF($C173&gt;0,IF(Q$10-$E$10&lt;=$D173,$E173,0)+IF(Q$10-$F$10&lt;=$D173,$F173,0)+IF(Q$10-$G$10&lt;=$D173,$G173,0)+IF(Q$10-$H$10&lt;=$D173,$H173,0)+IF(Q$10-$I$10&lt;=$D173,$I173,0)+IF(Q$10-$J$10&lt;=$D173,$J173,0)+IF(Q$10-$K$10&lt;=$D173,$K173,0)+IF(Q$10-$L$10&lt;=$D173,$L173,0),0)+IF(Q$10-$M$10&lt;=$D173,$M173,0)+IF(Q$10-$N$10&lt;=$D173,$N173,0)+IF(Q$10-$O$10&lt;=$D173,$O173,0)+IF(Q$10-$P$10&lt;=$D173,$P173,0),"")</f>
        <v/>
      </c>
      <c r="Q228" s="14" t="str">
        <f>IF(R$8=1,IF($C173&gt;0,IF(R$10-$E$10&lt;=$D173,$E173,0)+IF(R$10-$F$10&lt;=$D173,$F173,0)+IF(R$10-$G$10&lt;=$D173,$G173,0)+IF(R$10-$H$10&lt;=$D173,$H173,0)+IF(R$10-$I$10&lt;=$D173,$I173,0)+IF(R$10-$J$10&lt;=$D173,$J173,0)+IF(R$10-$K$10&lt;=$D173,$K173,0)+IF(R$10-$L$10&lt;=$D173,$L173,0),0)+IF(R$10-$M$10&lt;=$D173,$M173,0)+IF(R$10-$N$10&lt;=$D173,$N173,0)+IF(R$10-$O$10&lt;=$D173,$O173,0)+IF(R$10-$P$10&lt;=$D173,$P173,0)+IF(R$10-$Q$10&lt;=$D173,$Q173,0),"")</f>
        <v/>
      </c>
      <c r="R228" s="14" t="str">
        <f>IF(S$8=1,IF($C173&gt;0,IF(S$10-$E$10&lt;=$D173,$E173,0)+IF(S$10-$F$10&lt;=$D173,$F173,0)+IF(S$10-$G$10&lt;=$D173,$G173,0)+IF(S$10-$H$10&lt;=$D173,$H173,0)+IF(S$10-$I$10&lt;=$D173,$I173,0)+IF(S$10-$J$10&lt;=$D173,$J173,0)+IF(S$10-$K$10&lt;=$D173,$K173,0)+IF(S$10-$L$10&lt;=$D173,$L173,0),0)+IF(S$10-$M$10&lt;=$D173,$M173,0)+IF(S$10-$N$10&lt;=$D173,$N173,0)+IF(S$10-$O$10&lt;=$D173,$O173,0)+IF(S$10-$P$10&lt;=$D173,$P173,0)+IF(S$10-$Q$10&lt;=$D173,$Q173,0)+IF(S$10-$R$10&lt;=$D173,$R173,0),"")</f>
        <v/>
      </c>
      <c r="S228" s="14" t="str">
        <f>IF(T$8=1,IF($C173&gt;0,IF(T$10-$E$10&lt;=$D173,$E173,0)+IF(T$10-$F$10&lt;=$D173,$F173,0)+IF(T$10-$G$10&lt;=$D173,$G173,0)+IF(T$10-$H$10&lt;=$D173,$H173,0)+IF(T$10-$I$10&lt;=$D173,$I173,0)+IF(T$10-$J$10&lt;=$D173,$J173,0)+IF(T$10-$K$10&lt;=$D173,$K173,0)+IF(T$10-$L$10&lt;=$D173,$L173,0),0)+IF(T$10-$M$10&lt;=$D173,$M173,0)+IF(T$10-$N$10&lt;=$D173,$N173,0)+IF(T$10-$O$10&lt;=$D173,$O173,0)+IF(T$10-$P$10&lt;=$D173,$P173,0)+IF(T$10-$Q$10&lt;=$D173,$Q173,0)+IF(T$10-$R$10&lt;=$D173,$R173,0)+IF(T$10-$S$10&lt;=$D173,$S173,0),"")</f>
        <v/>
      </c>
    </row>
    <row r="229" spans="2:19">
      <c r="B229" s="21" t="s">
        <v>127</v>
      </c>
      <c r="C229" s="39"/>
      <c r="D229" s="39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spans="2:19">
      <c r="B230" s="50" t="str">
        <f>B175</f>
        <v>PC 1</v>
      </c>
      <c r="C230" s="51">
        <f>IF(C175&gt;0,C175,"")</f>
        <v>0.1</v>
      </c>
      <c r="D230" s="39"/>
      <c r="E230" s="14">
        <f>IF(F$8=1,IF($C175&gt;0,IF(F$10-$E$10&lt;=$D175,$E175,0),0),"")</f>
        <v>4000</v>
      </c>
      <c r="F230" s="14">
        <f>IF(G$8=1,IF($C175&gt;0,IF(G$10-$E$10&lt;=$D175,$E175,0)+IF(G$10-$F$10&lt;=$D175,$F175,0),0),"")</f>
        <v>4000</v>
      </c>
      <c r="G230" s="14" t="str">
        <f>IF(H$8=1,IF($C175&gt;0,IF(H$10-$E$10&lt;=$D175,$E175,0)+IF(H$10-$F$10&lt;=$D175,$F175,0)+IF(H$10-$G$10&lt;=$D175,$G175,0),0),"")</f>
        <v/>
      </c>
      <c r="H230" s="14" t="str">
        <f>IF(I$8=1,IF($C175&gt;0,IF(I$10-$E$10&lt;=$D175,$E175,0)+IF(I$10-$F$10&lt;=$D175,$F175,0)+IF(I$10-$G$10&lt;=$D175,$G175,0)+IF(I$10-$H$10&lt;=$D175,$H175,0),0),"")</f>
        <v/>
      </c>
      <c r="I230" s="14" t="str">
        <f>IF(J$8=1,IF($C175&gt;0,IF(J$10-$E$10&lt;=$D175,$E175,0)+IF(J$10-$F$10&lt;=$D175,$F175,0)+IF(J$10-$G$10&lt;=$D175,$G175,0)+IF(J$10-$H$10&lt;=$D175,$H175,0)+IF(J$10-$I$10&lt;=$D175,$I175,0),0),"")</f>
        <v/>
      </c>
      <c r="J230" s="14" t="str">
        <f>IF(K$8=1,IF($C175&gt;0,IF(K$10-$E$10&lt;=$D175,$E175,0)+IF(K$10-$F$10&lt;=$D175,$F175,0)+IF(K$10-$G$10&lt;=$D175,$G175,0)+IF(K$10-$H$10&lt;=$D175,$H175,0)+IF(K$10-$I$10&lt;=$D175,$I175,0)+IF(K$10-$J$10&lt;=$D175,$J175,0),0),"")</f>
        <v/>
      </c>
      <c r="K230" s="14" t="str">
        <f>IF(L$8=1,IF($C175&gt;0,IF(L$10-$E$10&lt;=$D175,$E175,0)+IF(L$10-$F$10&lt;=$D175,$F175,0)+IF(L$10-$G$10&lt;=$D175,$G175,0)+IF(L$10-$H$10&lt;=$D175,$H175,0)+IF(L$10-$I$10&lt;=$D175,$I175,0)+IF(L$10-$J$10&lt;=$D175,$J175,0)+IF(L$10-$K$10&lt;=$D175,$K175,0),0),"")</f>
        <v/>
      </c>
      <c r="L230" s="14" t="str">
        <f>IF(M$8=1,IF($C175&gt;0,IF(M$10-$E$10&lt;=$D175,$E175,0)+IF(M$10-$F$10&lt;=$D175,$F175,0)+IF(M$10-$G$10&lt;=$D175,$G175,0)+IF(M$10-$H$10&lt;=$D175,$H175,0)+IF(M$10-$I$10&lt;=$D175,$I175,0)+IF(M$10-$J$10&lt;=$D175,$J175,0)+IF(M$10-$K$10&lt;=$D175,$K175,0)+IF(M$10-$L$10&lt;=$D175,$L175,0),0),"")</f>
        <v/>
      </c>
      <c r="M230" s="14" t="str">
        <f>IF(N$8=1,IF($C175&gt;0,IF(N$10-$E$10&lt;=$D175,$E175,0)+IF(N$10-$F$10&lt;=$D175,$F175,0)+IF(N$10-$G$10&lt;=$D175,$G175,0)+IF(N$10-$H$10&lt;=$D175,$H175,0)+IF(N$10-$I$10&lt;=$D175,$I175,0)+IF(N$10-$J$10&lt;=$D175,$J175,0)+IF(N$10-$K$10&lt;=$D175,$K175,0)+IF(N$10-$L$10&lt;=$D175,$L175,0),0)+IF(N$10-$M$10&lt;=$D175,$M175,0),"")</f>
        <v/>
      </c>
      <c r="N230" s="14" t="str">
        <f>IF(O$8=1,IF($C175&gt;0,IF(O$10-$E$10&lt;=$D175,$E175,0)+IF(O$10-$F$10&lt;=$D175,$F175,0)+IF(O$10-$G$10&lt;=$D175,$G175,0)+IF(O$10-$H$10&lt;=$D175,$H175,0)+IF(O$10-$I$10&lt;=$D175,$I175,0)+IF(O$10-$J$10&lt;=$D175,$J175,0)+IF(O$10-$K$10&lt;=$D175,$K175,0)+IF(O$10-$L$10&lt;=$D175,$L175,0),0)+IF(O$10-$M$10&lt;=$D175,$M175,0)+IF(O$10-$N$10&lt;=$D175,$N175,0),"")</f>
        <v/>
      </c>
      <c r="O230" s="14" t="str">
        <f>IF(P$8=1,IF($C175&gt;0,IF(P$10-$E$10&lt;=$D175,$E175,0)+IF(P$10-$F$10&lt;=$D175,$F175,0)+IF(P$10-$G$10&lt;=$D175,$G175,0)+IF(P$10-$H$10&lt;=$D175,$H175,0)+IF(P$10-$I$10&lt;=$D175,$I175,0)+IF(P$10-$J$10&lt;=$D175,$J175,0)+IF(P$10-$K$10&lt;=$D175,$K175,0)+IF(P$10-$L$10&lt;=$D175,$L175,0),0)+IF(P$10-$M$10&lt;=$D175,$M175,0)+IF(P$10-$N$10&lt;=$D175,$N175,0)+IF(P$10-$O$10&lt;=$D175,$O175,0),"")</f>
        <v/>
      </c>
      <c r="P230" s="14" t="str">
        <f>IF(Q$8=1,IF($C175&gt;0,IF(Q$10-$E$10&lt;=$D175,$E175,0)+IF(Q$10-$F$10&lt;=$D175,$F175,0)+IF(Q$10-$G$10&lt;=$D175,$G175,0)+IF(Q$10-$H$10&lt;=$D175,$H175,0)+IF(Q$10-$I$10&lt;=$D175,$I175,0)+IF(Q$10-$J$10&lt;=$D175,$J175,0)+IF(Q$10-$K$10&lt;=$D175,$K175,0)+IF(Q$10-$L$10&lt;=$D175,$L175,0),0)+IF(Q$10-$M$10&lt;=$D175,$M175,0)+IF(Q$10-$N$10&lt;=$D175,$N175,0)+IF(Q$10-$O$10&lt;=$D175,$O175,0)+IF(Q$10-$P$10&lt;=$D175,$P175,0),"")</f>
        <v/>
      </c>
      <c r="Q230" s="14" t="str">
        <f>IF(R$8=1,IF($C175&gt;0,IF(R$10-$E$10&lt;=$D175,$E175,0)+IF(R$10-$F$10&lt;=$D175,$F175,0)+IF(R$10-$G$10&lt;=$D175,$G175,0)+IF(R$10-$H$10&lt;=$D175,$H175,0)+IF(R$10-$I$10&lt;=$D175,$I175,0)+IF(R$10-$J$10&lt;=$D175,$J175,0)+IF(R$10-$K$10&lt;=$D175,$K175,0)+IF(R$10-$L$10&lt;=$D175,$L175,0),0)+IF(R$10-$M$10&lt;=$D175,$M175,0)+IF(R$10-$N$10&lt;=$D175,$N175,0)+IF(R$10-$O$10&lt;=$D175,$O175,0)+IF(R$10-$P$10&lt;=$D175,$P175,0)+IF(R$10-$Q$10&lt;=$D175,$Q175,0),"")</f>
        <v/>
      </c>
      <c r="R230" s="14" t="str">
        <f>IF(S$8=1,IF($C175&gt;0,IF(S$10-$E$10&lt;=$D175,$E175,0)+IF(S$10-$F$10&lt;=$D175,$F175,0)+IF(S$10-$G$10&lt;=$D175,$G175,0)+IF(S$10-$H$10&lt;=$D175,$H175,0)+IF(S$10-$I$10&lt;=$D175,$I175,0)+IF(S$10-$J$10&lt;=$D175,$J175,0)+IF(S$10-$K$10&lt;=$D175,$K175,0)+IF(S$10-$L$10&lt;=$D175,$L175,0),0)+IF(S$10-$M$10&lt;=$D175,$M175,0)+IF(S$10-$N$10&lt;=$D175,$N175,0)+IF(S$10-$O$10&lt;=$D175,$O175,0)+IF(S$10-$P$10&lt;=$D175,$P175,0)+IF(S$10-$Q$10&lt;=$D175,$Q175,0)+IF(S$10-$R$10&lt;=$D175,$R175,0),"")</f>
        <v/>
      </c>
      <c r="S230" s="14" t="str">
        <f>IF(T$8=1,IF($C175&gt;0,IF(T$10-$E$10&lt;=$D175,$E175,0)+IF(T$10-$F$10&lt;=$D175,$F175,0)+IF(T$10-$G$10&lt;=$D175,$G175,0)+IF(T$10-$H$10&lt;=$D175,$H175,0)+IF(T$10-$I$10&lt;=$D175,$I175,0)+IF(T$10-$J$10&lt;=$D175,$J175,0)+IF(T$10-$K$10&lt;=$D175,$K175,0)+IF(T$10-$L$10&lt;=$D175,$L175,0),0)+IF(T$10-$M$10&lt;=$D175,$M175,0)+IF(T$10-$N$10&lt;=$D175,$N175,0)+IF(T$10-$O$10&lt;=$D175,$O175,0)+IF(T$10-$P$10&lt;=$D175,$P175,0)+IF(T$10-$Q$10&lt;=$D175,$Q175,0)+IF(T$10-$R$10&lt;=$D175,$R175,0)+IF(T$10-$S$10&lt;=$D175,$S175,0),"")</f>
        <v/>
      </c>
    </row>
    <row r="231" spans="2:19">
      <c r="B231" s="50" t="str">
        <f>B176</f>
        <v>PC 2</v>
      </c>
      <c r="C231" s="51" t="str">
        <f>IF(C176&gt;0,C176,"")</f>
        <v/>
      </c>
      <c r="D231" s="39"/>
      <c r="E231" s="14">
        <f>IF(F$8=1,IF($C176&gt;0,IF(F$10-$E$10&lt;=$D176,$E176,0),0),"")</f>
        <v>0</v>
      </c>
      <c r="F231" s="14">
        <f>IF(G$8=1,IF($C176&gt;0,IF(G$10-$E$10&lt;=$D176,$E176,0)+IF(G$10-$F$10&lt;=$D176,$F176,0),0),"")</f>
        <v>0</v>
      </c>
      <c r="G231" s="14" t="str">
        <f>IF(H$8=1,IF($C176&gt;0,IF(H$10-$E$10&lt;=$D176,$E176,0)+IF(H$10-$F$10&lt;=$D176,$F176,0)+IF(H$10-$G$10&lt;=$D176,$G176,0),0),"")</f>
        <v/>
      </c>
      <c r="H231" s="14" t="str">
        <f>IF(I$8=1,IF($C176&gt;0,IF(I$10-$E$10&lt;=$D176,$E176,0)+IF(I$10-$F$10&lt;=$D176,$F176,0)+IF(I$10-$G$10&lt;=$D176,$G176,0)+IF(I$10-$H$10&lt;=$D176,$H176,0),0),"")</f>
        <v/>
      </c>
      <c r="I231" s="14" t="str">
        <f>IF(J$8=1,IF($C176&gt;0,IF(J$10-$E$10&lt;=$D176,$E176,0)+IF(J$10-$F$10&lt;=$D176,$F176,0)+IF(J$10-$G$10&lt;=$D176,$G176,0)+IF(J$10-$H$10&lt;=$D176,$H176,0)+IF(J$10-$I$10&lt;=$D176,$I176,0),0),"")</f>
        <v/>
      </c>
      <c r="J231" s="14" t="str">
        <f>IF(K$8=1,IF($C176&gt;0,IF(K$10-$E$10&lt;=$D176,$E176,0)+IF(K$10-$F$10&lt;=$D176,$F176,0)+IF(K$10-$G$10&lt;=$D176,$G176,0)+IF(K$10-$H$10&lt;=$D176,$H176,0)+IF(K$10-$I$10&lt;=$D176,$I176,0)+IF(K$10-$J$10&lt;=$D176,$J176,0),0),"")</f>
        <v/>
      </c>
      <c r="K231" s="14" t="str">
        <f>IF(L$8=1,IF($C176&gt;0,IF(L$10-$E$10&lt;=$D176,$E176,0)+IF(L$10-$F$10&lt;=$D176,$F176,0)+IF(L$10-$G$10&lt;=$D176,$G176,0)+IF(L$10-$H$10&lt;=$D176,$H176,0)+IF(L$10-$I$10&lt;=$D176,$I176,0)+IF(L$10-$J$10&lt;=$D176,$J176,0)+IF(L$10-$K$10&lt;=$D176,$K176,0),0),"")</f>
        <v/>
      </c>
      <c r="L231" s="14" t="str">
        <f>IF(M$8=1,IF($C176&gt;0,IF(M$10-$E$10&lt;=$D176,$E176,0)+IF(M$10-$F$10&lt;=$D176,$F176,0)+IF(M$10-$G$10&lt;=$D176,$G176,0)+IF(M$10-$H$10&lt;=$D176,$H176,0)+IF(M$10-$I$10&lt;=$D176,$I176,0)+IF(M$10-$J$10&lt;=$D176,$J176,0)+IF(M$10-$K$10&lt;=$D176,$K176,0)+IF(M$10-$L$10&lt;=$D176,$L176,0),0),"")</f>
        <v/>
      </c>
      <c r="M231" s="14" t="str">
        <f>IF(N$8=1,IF($C176&gt;0,IF(N$10-$E$10&lt;=$D176,$E176,0)+IF(N$10-$F$10&lt;=$D176,$F176,0)+IF(N$10-$G$10&lt;=$D176,$G176,0)+IF(N$10-$H$10&lt;=$D176,$H176,0)+IF(N$10-$I$10&lt;=$D176,$I176,0)+IF(N$10-$J$10&lt;=$D176,$J176,0)+IF(N$10-$K$10&lt;=$D176,$K176,0)+IF(N$10-$L$10&lt;=$D176,$L176,0),0)+IF(N$10-$M$10&lt;=$D176,$M176,0),"")</f>
        <v/>
      </c>
      <c r="N231" s="14" t="str">
        <f>IF(O$8=1,IF($C176&gt;0,IF(O$10-$E$10&lt;=$D176,$E176,0)+IF(O$10-$F$10&lt;=$D176,$F176,0)+IF(O$10-$G$10&lt;=$D176,$G176,0)+IF(O$10-$H$10&lt;=$D176,$H176,0)+IF(O$10-$I$10&lt;=$D176,$I176,0)+IF(O$10-$J$10&lt;=$D176,$J176,0)+IF(O$10-$K$10&lt;=$D176,$K176,0)+IF(O$10-$L$10&lt;=$D176,$L176,0),0)+IF(O$10-$M$10&lt;=$D176,$M176,0)+IF(O$10-$N$10&lt;=$D176,$N176,0),"")</f>
        <v/>
      </c>
      <c r="O231" s="14" t="str">
        <f>IF(P$8=1,IF($C176&gt;0,IF(P$10-$E$10&lt;=$D176,$E176,0)+IF(P$10-$F$10&lt;=$D176,$F176,0)+IF(P$10-$G$10&lt;=$D176,$G176,0)+IF(P$10-$H$10&lt;=$D176,$H176,0)+IF(P$10-$I$10&lt;=$D176,$I176,0)+IF(P$10-$J$10&lt;=$D176,$J176,0)+IF(P$10-$K$10&lt;=$D176,$K176,0)+IF(P$10-$L$10&lt;=$D176,$L176,0),0)+IF(P$10-$M$10&lt;=$D176,$M176,0)+IF(P$10-$N$10&lt;=$D176,$N176,0)+IF(P$10-$O$10&lt;=$D176,$O176,0),"")</f>
        <v/>
      </c>
      <c r="P231" s="14" t="str">
        <f>IF(Q$8=1,IF($C176&gt;0,IF(Q$10-$E$10&lt;=$D176,$E176,0)+IF(Q$10-$F$10&lt;=$D176,$F176,0)+IF(Q$10-$G$10&lt;=$D176,$G176,0)+IF(Q$10-$H$10&lt;=$D176,$H176,0)+IF(Q$10-$I$10&lt;=$D176,$I176,0)+IF(Q$10-$J$10&lt;=$D176,$J176,0)+IF(Q$10-$K$10&lt;=$D176,$K176,0)+IF(Q$10-$L$10&lt;=$D176,$L176,0),0)+IF(Q$10-$M$10&lt;=$D176,$M176,0)+IF(Q$10-$N$10&lt;=$D176,$N176,0)+IF(Q$10-$O$10&lt;=$D176,$O176,0)+IF(Q$10-$P$10&lt;=$D176,$P176,0),"")</f>
        <v/>
      </c>
      <c r="Q231" s="14" t="str">
        <f>IF(R$8=1,IF($C176&gt;0,IF(R$10-$E$10&lt;=$D176,$E176,0)+IF(R$10-$F$10&lt;=$D176,$F176,0)+IF(R$10-$G$10&lt;=$D176,$G176,0)+IF(R$10-$H$10&lt;=$D176,$H176,0)+IF(R$10-$I$10&lt;=$D176,$I176,0)+IF(R$10-$J$10&lt;=$D176,$J176,0)+IF(R$10-$K$10&lt;=$D176,$K176,0)+IF(R$10-$L$10&lt;=$D176,$L176,0),0)+IF(R$10-$M$10&lt;=$D176,$M176,0)+IF(R$10-$N$10&lt;=$D176,$N176,0)+IF(R$10-$O$10&lt;=$D176,$O176,0)+IF(R$10-$P$10&lt;=$D176,$P176,0)+IF(R$10-$Q$10&lt;=$D176,$Q176,0),"")</f>
        <v/>
      </c>
      <c r="R231" s="14" t="str">
        <f>IF(S$8=1,IF($C176&gt;0,IF(S$10-$E$10&lt;=$D176,$E176,0)+IF(S$10-$F$10&lt;=$D176,$F176,0)+IF(S$10-$G$10&lt;=$D176,$G176,0)+IF(S$10-$H$10&lt;=$D176,$H176,0)+IF(S$10-$I$10&lt;=$D176,$I176,0)+IF(S$10-$J$10&lt;=$D176,$J176,0)+IF(S$10-$K$10&lt;=$D176,$K176,0)+IF(S$10-$L$10&lt;=$D176,$L176,0),0)+IF(S$10-$M$10&lt;=$D176,$M176,0)+IF(S$10-$N$10&lt;=$D176,$N176,0)+IF(S$10-$O$10&lt;=$D176,$O176,0)+IF(S$10-$P$10&lt;=$D176,$P176,0)+IF(S$10-$Q$10&lt;=$D176,$Q176,0)+IF(S$10-$R$10&lt;=$D176,$R176,0),"")</f>
        <v/>
      </c>
      <c r="S231" s="14" t="str">
        <f>IF(T$8=1,IF($C176&gt;0,IF(T$10-$E$10&lt;=$D176,$E176,0)+IF(T$10-$F$10&lt;=$D176,$F176,0)+IF(T$10-$G$10&lt;=$D176,$G176,0)+IF(T$10-$H$10&lt;=$D176,$H176,0)+IF(T$10-$I$10&lt;=$D176,$I176,0)+IF(T$10-$J$10&lt;=$D176,$J176,0)+IF(T$10-$K$10&lt;=$D176,$K176,0)+IF(T$10-$L$10&lt;=$D176,$L176,0),0)+IF(T$10-$M$10&lt;=$D176,$M176,0)+IF(T$10-$N$10&lt;=$D176,$N176,0)+IF(T$10-$O$10&lt;=$D176,$O176,0)+IF(T$10-$P$10&lt;=$D176,$P176,0)+IF(T$10-$Q$10&lt;=$D176,$Q176,0)+IF(T$10-$R$10&lt;=$D176,$R176,0)+IF(T$10-$S$10&lt;=$D176,$S176,0),"")</f>
        <v/>
      </c>
    </row>
    <row r="232" spans="2:19">
      <c r="B232" s="50" t="str">
        <f>B177</f>
        <v>PC 3</v>
      </c>
      <c r="C232" s="51" t="str">
        <f>IF(C177&gt;0,C177,"")</f>
        <v/>
      </c>
      <c r="D232" s="39"/>
      <c r="E232" s="14">
        <f>IF(F$8=1,IF($C177&gt;0,IF(F$10-$E$10&lt;=$D177,$E177,0),0),"")</f>
        <v>0</v>
      </c>
      <c r="F232" s="14">
        <f>IF(G$8=1,IF($C177&gt;0,IF(G$10-$E$10&lt;=$D177,$E177,0)+IF(G$10-$F$10&lt;=$D177,$F177,0),0),"")</f>
        <v>0</v>
      </c>
      <c r="G232" s="14" t="str">
        <f>IF(H$8=1,IF($C177&gt;0,IF(H$10-$E$10&lt;=$D177,$E177,0)+IF(H$10-$F$10&lt;=$D177,$F177,0)+IF(H$10-$G$10&lt;=$D177,$G177,0),0),"")</f>
        <v/>
      </c>
      <c r="H232" s="14" t="str">
        <f>IF(I$8=1,IF($C177&gt;0,IF(I$10-$E$10&lt;=$D177,$E177,0)+IF(I$10-$F$10&lt;=$D177,$F177,0)+IF(I$10-$G$10&lt;=$D177,$G177,0)+IF(I$10-$H$10&lt;=$D177,$H177,0),0),"")</f>
        <v/>
      </c>
      <c r="I232" s="14" t="str">
        <f>IF(J$8=1,IF($C177&gt;0,IF(J$10-$E$10&lt;=$D177,$E177,0)+IF(J$10-$F$10&lt;=$D177,$F177,0)+IF(J$10-$G$10&lt;=$D177,$G177,0)+IF(J$10-$H$10&lt;=$D177,$H177,0)+IF(J$10-$I$10&lt;=$D177,$I177,0),0),"")</f>
        <v/>
      </c>
      <c r="J232" s="14" t="str">
        <f>IF(K$8=1,IF($C177&gt;0,IF(K$10-$E$10&lt;=$D177,$E177,0)+IF(K$10-$F$10&lt;=$D177,$F177,0)+IF(K$10-$G$10&lt;=$D177,$G177,0)+IF(K$10-$H$10&lt;=$D177,$H177,0)+IF(K$10-$I$10&lt;=$D177,$I177,0)+IF(K$10-$J$10&lt;=$D177,$J177,0),0),"")</f>
        <v/>
      </c>
      <c r="K232" s="14" t="str">
        <f>IF(L$8=1,IF($C177&gt;0,IF(L$10-$E$10&lt;=$D177,$E177,0)+IF(L$10-$F$10&lt;=$D177,$F177,0)+IF(L$10-$G$10&lt;=$D177,$G177,0)+IF(L$10-$H$10&lt;=$D177,$H177,0)+IF(L$10-$I$10&lt;=$D177,$I177,0)+IF(L$10-$J$10&lt;=$D177,$J177,0)+IF(L$10-$K$10&lt;=$D177,$K177,0),0),"")</f>
        <v/>
      </c>
      <c r="L232" s="14" t="str">
        <f>IF(M$8=1,IF($C177&gt;0,IF(M$10-$E$10&lt;=$D177,$E177,0)+IF(M$10-$F$10&lt;=$D177,$F177,0)+IF(M$10-$G$10&lt;=$D177,$G177,0)+IF(M$10-$H$10&lt;=$D177,$H177,0)+IF(M$10-$I$10&lt;=$D177,$I177,0)+IF(M$10-$J$10&lt;=$D177,$J177,0)+IF(M$10-$K$10&lt;=$D177,$K177,0)+IF(M$10-$L$10&lt;=$D177,$L177,0),0),"")</f>
        <v/>
      </c>
      <c r="M232" s="14" t="str">
        <f>IF(N$8=1,IF($C177&gt;0,IF(N$10-$E$10&lt;=$D177,$E177,0)+IF(N$10-$F$10&lt;=$D177,$F177,0)+IF(N$10-$G$10&lt;=$D177,$G177,0)+IF(N$10-$H$10&lt;=$D177,$H177,0)+IF(N$10-$I$10&lt;=$D177,$I177,0)+IF(N$10-$J$10&lt;=$D177,$J177,0)+IF(N$10-$K$10&lt;=$D177,$K177,0)+IF(N$10-$L$10&lt;=$D177,$L177,0),0)+IF(N$10-$M$10&lt;=$D177,$M177,0),"")</f>
        <v/>
      </c>
      <c r="N232" s="14" t="str">
        <f>IF(O$8=1,IF($C177&gt;0,IF(O$10-$E$10&lt;=$D177,$E177,0)+IF(O$10-$F$10&lt;=$D177,$F177,0)+IF(O$10-$G$10&lt;=$D177,$G177,0)+IF(O$10-$H$10&lt;=$D177,$H177,0)+IF(O$10-$I$10&lt;=$D177,$I177,0)+IF(O$10-$J$10&lt;=$D177,$J177,0)+IF(O$10-$K$10&lt;=$D177,$K177,0)+IF(O$10-$L$10&lt;=$D177,$L177,0),0)+IF(O$10-$M$10&lt;=$D177,$M177,0)+IF(O$10-$N$10&lt;=$D177,$N177,0),"")</f>
        <v/>
      </c>
      <c r="O232" s="14" t="str">
        <f>IF(P$8=1,IF($C177&gt;0,IF(P$10-$E$10&lt;=$D177,$E177,0)+IF(P$10-$F$10&lt;=$D177,$F177,0)+IF(P$10-$G$10&lt;=$D177,$G177,0)+IF(P$10-$H$10&lt;=$D177,$H177,0)+IF(P$10-$I$10&lt;=$D177,$I177,0)+IF(P$10-$J$10&lt;=$D177,$J177,0)+IF(P$10-$K$10&lt;=$D177,$K177,0)+IF(P$10-$L$10&lt;=$D177,$L177,0),0)+IF(P$10-$M$10&lt;=$D177,$M177,0)+IF(P$10-$N$10&lt;=$D177,$N177,0)+IF(P$10-$O$10&lt;=$D177,$O177,0),"")</f>
        <v/>
      </c>
      <c r="P232" s="14" t="str">
        <f>IF(Q$8=1,IF($C177&gt;0,IF(Q$10-$E$10&lt;=$D177,$E177,0)+IF(Q$10-$F$10&lt;=$D177,$F177,0)+IF(Q$10-$G$10&lt;=$D177,$G177,0)+IF(Q$10-$H$10&lt;=$D177,$H177,0)+IF(Q$10-$I$10&lt;=$D177,$I177,0)+IF(Q$10-$J$10&lt;=$D177,$J177,0)+IF(Q$10-$K$10&lt;=$D177,$K177,0)+IF(Q$10-$L$10&lt;=$D177,$L177,0),0)+IF(Q$10-$M$10&lt;=$D177,$M177,0)+IF(Q$10-$N$10&lt;=$D177,$N177,0)+IF(Q$10-$O$10&lt;=$D177,$O177,0)+IF(Q$10-$P$10&lt;=$D177,$P177,0),"")</f>
        <v/>
      </c>
      <c r="Q232" s="14" t="str">
        <f>IF(R$8=1,IF($C177&gt;0,IF(R$10-$E$10&lt;=$D177,$E177,0)+IF(R$10-$F$10&lt;=$D177,$F177,0)+IF(R$10-$G$10&lt;=$D177,$G177,0)+IF(R$10-$H$10&lt;=$D177,$H177,0)+IF(R$10-$I$10&lt;=$D177,$I177,0)+IF(R$10-$J$10&lt;=$D177,$J177,0)+IF(R$10-$K$10&lt;=$D177,$K177,0)+IF(R$10-$L$10&lt;=$D177,$L177,0),0)+IF(R$10-$M$10&lt;=$D177,$M177,0)+IF(R$10-$N$10&lt;=$D177,$N177,0)+IF(R$10-$O$10&lt;=$D177,$O177,0)+IF(R$10-$P$10&lt;=$D177,$P177,0)+IF(R$10-$Q$10&lt;=$D177,$Q177,0),"")</f>
        <v/>
      </c>
      <c r="R232" s="14" t="str">
        <f>IF(S$8=1,IF($C177&gt;0,IF(S$10-$E$10&lt;=$D177,$E177,0)+IF(S$10-$F$10&lt;=$D177,$F177,0)+IF(S$10-$G$10&lt;=$D177,$G177,0)+IF(S$10-$H$10&lt;=$D177,$H177,0)+IF(S$10-$I$10&lt;=$D177,$I177,0)+IF(S$10-$J$10&lt;=$D177,$J177,0)+IF(S$10-$K$10&lt;=$D177,$K177,0)+IF(S$10-$L$10&lt;=$D177,$L177,0),0)+IF(S$10-$M$10&lt;=$D177,$M177,0)+IF(S$10-$N$10&lt;=$D177,$N177,0)+IF(S$10-$O$10&lt;=$D177,$O177,0)+IF(S$10-$P$10&lt;=$D177,$P177,0)+IF(S$10-$Q$10&lt;=$D177,$Q177,0)+IF(S$10-$R$10&lt;=$D177,$R177,0),"")</f>
        <v/>
      </c>
      <c r="S232" s="14" t="str">
        <f>IF(T$8=1,IF($C177&gt;0,IF(T$10-$E$10&lt;=$D177,$E177,0)+IF(T$10-$F$10&lt;=$D177,$F177,0)+IF(T$10-$G$10&lt;=$D177,$G177,0)+IF(T$10-$H$10&lt;=$D177,$H177,0)+IF(T$10-$I$10&lt;=$D177,$I177,0)+IF(T$10-$J$10&lt;=$D177,$J177,0)+IF(T$10-$K$10&lt;=$D177,$K177,0)+IF(T$10-$L$10&lt;=$D177,$L177,0),0)+IF(T$10-$M$10&lt;=$D177,$M177,0)+IF(T$10-$N$10&lt;=$D177,$N177,0)+IF(T$10-$O$10&lt;=$D177,$O177,0)+IF(T$10-$P$10&lt;=$D177,$P177,0)+IF(T$10-$Q$10&lt;=$D177,$Q177,0)+IF(T$10-$R$10&lt;=$D177,$R177,0)+IF(T$10-$S$10&lt;=$D177,$S177,0),"")</f>
        <v/>
      </c>
    </row>
    <row r="233" spans="2:19">
      <c r="B233" s="50" t="str">
        <f>B178</f>
        <v>PC 4</v>
      </c>
      <c r="C233" s="51" t="str">
        <f>IF(C178&gt;0,C178,"")</f>
        <v/>
      </c>
      <c r="D233" s="39"/>
      <c r="E233" s="14">
        <f>IF(F$8=1,IF($C178&gt;0,IF(F$10-$E$10&lt;=$D178,$E178,0),0),"")</f>
        <v>0</v>
      </c>
      <c r="F233" s="14">
        <f>IF(G$8=1,IF($C178&gt;0,IF(G$10-$E$10&lt;=$D178,$E178,0)+IF(G$10-$F$10&lt;=$D178,$F178,0),0),"")</f>
        <v>0</v>
      </c>
      <c r="G233" s="14" t="str">
        <f>IF(H$8=1,IF($C178&gt;0,IF(H$10-$E$10&lt;=$D178,$E178,0)+IF(H$10-$F$10&lt;=$D178,$F178,0)+IF(H$10-$G$10&lt;=$D178,$G178,0),0),"")</f>
        <v/>
      </c>
      <c r="H233" s="14" t="str">
        <f>IF(I$8=1,IF($C178&gt;0,IF(I$10-$E$10&lt;=$D178,$E178,0)+IF(I$10-$F$10&lt;=$D178,$F178,0)+IF(I$10-$G$10&lt;=$D178,$G178,0)+IF(I$10-$H$10&lt;=$D178,$H178,0),0),"")</f>
        <v/>
      </c>
      <c r="I233" s="14" t="str">
        <f>IF(J$8=1,IF($C178&gt;0,IF(J$10-$E$10&lt;=$D178,$E178,0)+IF(J$10-$F$10&lt;=$D178,$F178,0)+IF(J$10-$G$10&lt;=$D178,$G178,0)+IF(J$10-$H$10&lt;=$D178,$H178,0)+IF(J$10-$I$10&lt;=$D178,$I178,0),0),"")</f>
        <v/>
      </c>
      <c r="J233" s="14" t="str">
        <f>IF(K$8=1,IF($C178&gt;0,IF(K$10-$E$10&lt;=$D178,$E178,0)+IF(K$10-$F$10&lt;=$D178,$F178,0)+IF(K$10-$G$10&lt;=$D178,$G178,0)+IF(K$10-$H$10&lt;=$D178,$H178,0)+IF(K$10-$I$10&lt;=$D178,$I178,0)+IF(K$10-$J$10&lt;=$D178,$J178,0),0),"")</f>
        <v/>
      </c>
      <c r="K233" s="14" t="str">
        <f>IF(L$8=1,IF($C178&gt;0,IF(L$10-$E$10&lt;=$D178,$E178,0)+IF(L$10-$F$10&lt;=$D178,$F178,0)+IF(L$10-$G$10&lt;=$D178,$G178,0)+IF(L$10-$H$10&lt;=$D178,$H178,0)+IF(L$10-$I$10&lt;=$D178,$I178,0)+IF(L$10-$J$10&lt;=$D178,$J178,0)+IF(L$10-$K$10&lt;=$D178,$K178,0),0),"")</f>
        <v/>
      </c>
      <c r="L233" s="14" t="str">
        <f>IF(M$8=1,IF($C178&gt;0,IF(M$10-$E$10&lt;=$D178,$E178,0)+IF(M$10-$F$10&lt;=$D178,$F178,0)+IF(M$10-$G$10&lt;=$D178,$G178,0)+IF(M$10-$H$10&lt;=$D178,$H178,0)+IF(M$10-$I$10&lt;=$D178,$I178,0)+IF(M$10-$J$10&lt;=$D178,$J178,0)+IF(M$10-$K$10&lt;=$D178,$K178,0)+IF(M$10-$L$10&lt;=$D178,$L178,0),0),"")</f>
        <v/>
      </c>
      <c r="M233" s="14" t="str">
        <f>IF(N$8=1,IF($C178&gt;0,IF(N$10-$E$10&lt;=$D178,$E178,0)+IF(N$10-$F$10&lt;=$D178,$F178,0)+IF(N$10-$G$10&lt;=$D178,$G178,0)+IF(N$10-$H$10&lt;=$D178,$H178,0)+IF(N$10-$I$10&lt;=$D178,$I178,0)+IF(N$10-$J$10&lt;=$D178,$J178,0)+IF(N$10-$K$10&lt;=$D178,$K178,0)+IF(N$10-$L$10&lt;=$D178,$L178,0),0)+IF(N$10-$M$10&lt;=$D178,$M178,0),"")</f>
        <v/>
      </c>
      <c r="N233" s="14" t="str">
        <f>IF(O$8=1,IF($C178&gt;0,IF(O$10-$E$10&lt;=$D178,$E178,0)+IF(O$10-$F$10&lt;=$D178,$F178,0)+IF(O$10-$G$10&lt;=$D178,$G178,0)+IF(O$10-$H$10&lt;=$D178,$H178,0)+IF(O$10-$I$10&lt;=$D178,$I178,0)+IF(O$10-$J$10&lt;=$D178,$J178,0)+IF(O$10-$K$10&lt;=$D178,$K178,0)+IF(O$10-$L$10&lt;=$D178,$L178,0),0)+IF(O$10-$M$10&lt;=$D178,$M178,0)+IF(O$10-$N$10&lt;=$D178,$N178,0),"")</f>
        <v/>
      </c>
      <c r="O233" s="14" t="str">
        <f>IF(P$8=1,IF($C178&gt;0,IF(P$10-$E$10&lt;=$D178,$E178,0)+IF(P$10-$F$10&lt;=$D178,$F178,0)+IF(P$10-$G$10&lt;=$D178,$G178,0)+IF(P$10-$H$10&lt;=$D178,$H178,0)+IF(P$10-$I$10&lt;=$D178,$I178,0)+IF(P$10-$J$10&lt;=$D178,$J178,0)+IF(P$10-$K$10&lt;=$D178,$K178,0)+IF(P$10-$L$10&lt;=$D178,$L178,0),0)+IF(P$10-$M$10&lt;=$D178,$M178,0)+IF(P$10-$N$10&lt;=$D178,$N178,0)+IF(P$10-$O$10&lt;=$D178,$O178,0),"")</f>
        <v/>
      </c>
      <c r="P233" s="14" t="str">
        <f>IF(Q$8=1,IF($C178&gt;0,IF(Q$10-$E$10&lt;=$D178,$E178,0)+IF(Q$10-$F$10&lt;=$D178,$F178,0)+IF(Q$10-$G$10&lt;=$D178,$G178,0)+IF(Q$10-$H$10&lt;=$D178,$H178,0)+IF(Q$10-$I$10&lt;=$D178,$I178,0)+IF(Q$10-$J$10&lt;=$D178,$J178,0)+IF(Q$10-$K$10&lt;=$D178,$K178,0)+IF(Q$10-$L$10&lt;=$D178,$L178,0),0)+IF(Q$10-$M$10&lt;=$D178,$M178,0)+IF(Q$10-$N$10&lt;=$D178,$N178,0)+IF(Q$10-$O$10&lt;=$D178,$O178,0)+IF(Q$10-$P$10&lt;=$D178,$P178,0),"")</f>
        <v/>
      </c>
      <c r="Q233" s="14" t="str">
        <f>IF(R$8=1,IF($C178&gt;0,IF(R$10-$E$10&lt;=$D178,$E178,0)+IF(R$10-$F$10&lt;=$D178,$F178,0)+IF(R$10-$G$10&lt;=$D178,$G178,0)+IF(R$10-$H$10&lt;=$D178,$H178,0)+IF(R$10-$I$10&lt;=$D178,$I178,0)+IF(R$10-$J$10&lt;=$D178,$J178,0)+IF(R$10-$K$10&lt;=$D178,$K178,0)+IF(R$10-$L$10&lt;=$D178,$L178,0),0)+IF(R$10-$M$10&lt;=$D178,$M178,0)+IF(R$10-$N$10&lt;=$D178,$N178,0)+IF(R$10-$O$10&lt;=$D178,$O178,0)+IF(R$10-$P$10&lt;=$D178,$P178,0)+IF(R$10-$Q$10&lt;=$D178,$Q178,0),"")</f>
        <v/>
      </c>
      <c r="R233" s="14" t="str">
        <f>IF(S$8=1,IF($C178&gt;0,IF(S$10-$E$10&lt;=$D178,$E178,0)+IF(S$10-$F$10&lt;=$D178,$F178,0)+IF(S$10-$G$10&lt;=$D178,$G178,0)+IF(S$10-$H$10&lt;=$D178,$H178,0)+IF(S$10-$I$10&lt;=$D178,$I178,0)+IF(S$10-$J$10&lt;=$D178,$J178,0)+IF(S$10-$K$10&lt;=$D178,$K178,0)+IF(S$10-$L$10&lt;=$D178,$L178,0),0)+IF(S$10-$M$10&lt;=$D178,$M178,0)+IF(S$10-$N$10&lt;=$D178,$N178,0)+IF(S$10-$O$10&lt;=$D178,$O178,0)+IF(S$10-$P$10&lt;=$D178,$P178,0)+IF(S$10-$Q$10&lt;=$D178,$Q178,0)+IF(S$10-$R$10&lt;=$D178,$R178,0),"")</f>
        <v/>
      </c>
      <c r="S233" s="14" t="str">
        <f>IF(T$8=1,IF($C178&gt;0,IF(T$10-$E$10&lt;=$D178,$E178,0)+IF(T$10-$F$10&lt;=$D178,$F178,0)+IF(T$10-$G$10&lt;=$D178,$G178,0)+IF(T$10-$H$10&lt;=$D178,$H178,0)+IF(T$10-$I$10&lt;=$D178,$I178,0)+IF(T$10-$J$10&lt;=$D178,$J178,0)+IF(T$10-$K$10&lt;=$D178,$K178,0)+IF(T$10-$L$10&lt;=$D178,$L178,0),0)+IF(T$10-$M$10&lt;=$D178,$M178,0)+IF(T$10-$N$10&lt;=$D178,$N178,0)+IF(T$10-$O$10&lt;=$D178,$O178,0)+IF(T$10-$P$10&lt;=$D178,$P178,0)+IF(T$10-$Q$10&lt;=$D178,$Q178,0)+IF(T$10-$R$10&lt;=$D178,$R178,0)+IF(T$10-$S$10&lt;=$D178,$S178,0),"")</f>
        <v/>
      </c>
    </row>
    <row r="234" spans="2:19">
      <c r="B234" s="21" t="s">
        <v>128</v>
      </c>
      <c r="C234" s="39"/>
      <c r="D234" s="39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spans="2:19">
      <c r="B235" s="50" t="str">
        <f>B180</f>
        <v>PI 1</v>
      </c>
      <c r="C235" s="51">
        <v>0.1</v>
      </c>
      <c r="D235" s="39"/>
      <c r="E235" s="14">
        <f>IF(F$8=1,IF($C180&gt;0,IF(F$10-$E$10&lt;=$D180,$E180,0),0),"")</f>
        <v>2000</v>
      </c>
      <c r="F235" s="14">
        <f>IF(G$8=1,IF($C180&gt;0,IF(G$10-$E$10&lt;=$D180,$E180,0)+IF(G$10-$F$10&lt;=$D180,$F180,0),0),"")</f>
        <v>2000</v>
      </c>
      <c r="G235" s="14" t="str">
        <f>IF(H$8=1,IF($C180&gt;0,IF(H$10-$E$10&lt;=$D180,$E180,0)+IF(H$10-$F$10&lt;=$D180,$F180,0)+IF(H$10-$G$10&lt;=$D180,$G180,0),0),"")</f>
        <v/>
      </c>
      <c r="H235" s="14" t="str">
        <f>IF(I$8=1,IF($C180&gt;0,IF(I$10-$E$10&lt;=$D180,$E180,0)+IF(I$10-$F$10&lt;=$D180,$F180,0)+IF(I$10-$G$10&lt;=$D180,$G180,0)+IF(I$10-$H$10&lt;=$D180,$H180,0),0),"")</f>
        <v/>
      </c>
      <c r="I235" s="14" t="str">
        <f>IF(J$8=1,IF($C180&gt;0,IF(J$10-$E$10&lt;=$D180,$E180,0)+IF(J$10-$F$10&lt;=$D180,$F180,0)+IF(J$10-$G$10&lt;=$D180,$G180,0)+IF(J$10-$H$10&lt;=$D180,$H180,0)+IF(J$10-$I$10&lt;=$D180,$I180,0),0),"")</f>
        <v/>
      </c>
      <c r="J235" s="14" t="str">
        <f>IF(K$8=1,IF($C180&gt;0,IF(K$10-$E$10&lt;=$D180,$E180,0)+IF(K$10-$F$10&lt;=$D180,$F180,0)+IF(K$10-$G$10&lt;=$D180,$G180,0)+IF(K$10-$H$10&lt;=$D180,$H180,0)+IF(K$10-$I$10&lt;=$D180,$I180,0)+IF(K$10-$J$10&lt;=$D180,$J180,0),0),"")</f>
        <v/>
      </c>
      <c r="K235" s="14" t="str">
        <f>IF(L$8=1,IF($C180&gt;0,IF(L$10-$E$10&lt;=$D180,$E180,0)+IF(L$10-$F$10&lt;=$D180,$F180,0)+IF(L$10-$G$10&lt;=$D180,$G180,0)+IF(L$10-$H$10&lt;=$D180,$H180,0)+IF(L$10-$I$10&lt;=$D180,$I180,0)+IF(L$10-$J$10&lt;=$D180,$J180,0)+IF(L$10-$K$10&lt;=$D180,$K180,0),0),"")</f>
        <v/>
      </c>
      <c r="L235" s="14" t="str">
        <f>IF(M$8=1,IF($C180&gt;0,IF(M$10-$E$10&lt;=$D180,$E180,0)+IF(M$10-$F$10&lt;=$D180,$F180,0)+IF(M$10-$G$10&lt;=$D180,$G180,0)+IF(M$10-$H$10&lt;=$D180,$H180,0)+IF(M$10-$I$10&lt;=$D180,$I180,0)+IF(M$10-$J$10&lt;=$D180,$J180,0)+IF(M$10-$K$10&lt;=$D180,$K180,0)+IF(M$10-$L$10&lt;=$D180,$L180,0),0),"")</f>
        <v/>
      </c>
      <c r="M235" s="14" t="str">
        <f>IF(N$8=1,IF($C180&gt;0,IF(N$10-$E$10&lt;=$D180,$E180,0)+IF(N$10-$F$10&lt;=$D180,$F180,0)+IF(N$10-$G$10&lt;=$D180,$G180,0)+IF(N$10-$H$10&lt;=$D180,$H180,0)+IF(N$10-$I$10&lt;=$D180,$I180,0)+IF(N$10-$J$10&lt;=$D180,$J180,0)+IF(N$10-$K$10&lt;=$D180,$K180,0)+IF(N$10-$L$10&lt;=$D180,$L180,0),0)+IF(N$10-$M$10&lt;=$D180,$M180,0),"")</f>
        <v/>
      </c>
      <c r="N235" s="14" t="str">
        <f>IF(O$8=1,IF($C180&gt;0,IF(O$10-$E$10&lt;=$D180,$E180,0)+IF(O$10-$F$10&lt;=$D180,$F180,0)+IF(O$10-$G$10&lt;=$D180,$G180,0)+IF(O$10-$H$10&lt;=$D180,$H180,0)+IF(O$10-$I$10&lt;=$D180,$I180,0)+IF(O$10-$J$10&lt;=$D180,$J180,0)+IF(O$10-$K$10&lt;=$D180,$K180,0)+IF(O$10-$L$10&lt;=$D180,$L180,0),0)+IF(O$10-$M$10&lt;=$D180,$M180,0)+IF(O$10-$N$10&lt;=$D180,$N180,0),"")</f>
        <v/>
      </c>
      <c r="O235" s="14" t="str">
        <f>IF(P$8=1,IF($C180&gt;0,IF(P$10-$E$10&lt;=$D180,$E180,0)+IF(P$10-$F$10&lt;=$D180,$F180,0)+IF(P$10-$G$10&lt;=$D180,$G180,0)+IF(P$10-$H$10&lt;=$D180,$H180,0)+IF(P$10-$I$10&lt;=$D180,$I180,0)+IF(P$10-$J$10&lt;=$D180,$J180,0)+IF(P$10-$K$10&lt;=$D180,$K180,0)+IF(P$10-$L$10&lt;=$D180,$L180,0),0)+IF(P$10-$M$10&lt;=$D180,$M180,0)+IF(P$10-$N$10&lt;=$D180,$N180,0)+IF(P$10-$O$10&lt;=$D180,$O180,0),"")</f>
        <v/>
      </c>
      <c r="P235" s="14" t="str">
        <f>IF(Q$8=1,IF($C180&gt;0,IF(Q$10-$E$10&lt;=$D180,$E180,0)+IF(Q$10-$F$10&lt;=$D180,$F180,0)+IF(Q$10-$G$10&lt;=$D180,$G180,0)+IF(Q$10-$H$10&lt;=$D180,$H180,0)+IF(Q$10-$I$10&lt;=$D180,$I180,0)+IF(Q$10-$J$10&lt;=$D180,$J180,0)+IF(Q$10-$K$10&lt;=$D180,$K180,0)+IF(Q$10-$L$10&lt;=$D180,$L180,0),0)+IF(Q$10-$M$10&lt;=$D180,$M180,0)+IF(Q$10-$N$10&lt;=$D180,$N180,0)+IF(Q$10-$O$10&lt;=$D180,$O180,0)+IF(Q$10-$P$10&lt;=$D180,$P180,0),"")</f>
        <v/>
      </c>
      <c r="Q235" s="14" t="str">
        <f>IF(R$8=1,IF($C180&gt;0,IF(R$10-$E$10&lt;=$D180,$E180,0)+IF(R$10-$F$10&lt;=$D180,$F180,0)+IF(R$10-$G$10&lt;=$D180,$G180,0)+IF(R$10-$H$10&lt;=$D180,$H180,0)+IF(R$10-$I$10&lt;=$D180,$I180,0)+IF(R$10-$J$10&lt;=$D180,$J180,0)+IF(R$10-$K$10&lt;=$D180,$K180,0)+IF(R$10-$L$10&lt;=$D180,$L180,0),0)+IF(R$10-$M$10&lt;=$D180,$M180,0)+IF(R$10-$N$10&lt;=$D180,$N180,0)+IF(R$10-$O$10&lt;=$D180,$O180,0)+IF(R$10-$P$10&lt;=$D180,$P180,0)+IF(R$10-$Q$10&lt;=$D180,$Q180,0),"")</f>
        <v/>
      </c>
      <c r="R235" s="14" t="str">
        <f>IF(S$8=1,IF($C180&gt;0,IF(S$10-$E$10&lt;=$D180,$E180,0)+IF(S$10-$F$10&lt;=$D180,$F180,0)+IF(S$10-$G$10&lt;=$D180,$G180,0)+IF(S$10-$H$10&lt;=$D180,$H180,0)+IF(S$10-$I$10&lt;=$D180,$I180,0)+IF(S$10-$J$10&lt;=$D180,$J180,0)+IF(S$10-$K$10&lt;=$D180,$K180,0)+IF(S$10-$L$10&lt;=$D180,$L180,0),0)+IF(S$10-$M$10&lt;=$D180,$M180,0)+IF(S$10-$N$10&lt;=$D180,$N180,0)+IF(S$10-$O$10&lt;=$D180,$O180,0)+IF(S$10-$P$10&lt;=$D180,$P180,0)+IF(S$10-$Q$10&lt;=$D180,$Q180,0)+IF(S$10-$R$10&lt;=$D180,$R180,0),"")</f>
        <v/>
      </c>
      <c r="S235" s="14" t="str">
        <f>IF(T$8=1,IF($C180&gt;0,IF(T$10-$E$10&lt;=$D180,$E180,0)+IF(T$10-$F$10&lt;=$D180,$F180,0)+IF(T$10-$G$10&lt;=$D180,$G180,0)+IF(T$10-$H$10&lt;=$D180,$H180,0)+IF(T$10-$I$10&lt;=$D180,$I180,0)+IF(T$10-$J$10&lt;=$D180,$J180,0)+IF(T$10-$K$10&lt;=$D180,$K180,0)+IF(T$10-$L$10&lt;=$D180,$L180,0),0)+IF(T$10-$M$10&lt;=$D180,$M180,0)+IF(T$10-$N$10&lt;=$D180,$N180,0)+IF(T$10-$O$10&lt;=$D180,$O180,0)+IF(T$10-$P$10&lt;=$D180,$P180,0)+IF(T$10-$Q$10&lt;=$D180,$Q180,0)+IF(T$10-$R$10&lt;=$D180,$R180,0)+IF(T$10-$S$10&lt;=$D180,$S180,0),"")</f>
        <v/>
      </c>
    </row>
    <row r="236" spans="2:19">
      <c r="B236" s="50" t="str">
        <f>B181</f>
        <v>PI 2</v>
      </c>
      <c r="C236" s="51" t="str">
        <f>IF(C181&gt;0,C181,"")</f>
        <v/>
      </c>
      <c r="D236" s="39"/>
      <c r="E236" s="14">
        <f>IF(F$8=1,IF($C181&gt;0,IF(F$10-$E$10&lt;=$D181,$E181,0),0),"")</f>
        <v>0</v>
      </c>
      <c r="F236" s="14">
        <f>IF(G$8=1,IF($C181&gt;0,IF(G$10-$E$10&lt;=$D181,$E181,0)+IF(G$10-$F$10&lt;=$D181,$F181,0),0),"")</f>
        <v>0</v>
      </c>
      <c r="G236" s="14" t="str">
        <f>IF(H$8=1,IF($C181&gt;0,IF(H$10-$E$10&lt;=$D181,$E181,0)+IF(H$10-$F$10&lt;=$D181,$F181,0)+IF(H$10-$G$10&lt;=$D181,$G181,0),0),"")</f>
        <v/>
      </c>
      <c r="H236" s="14" t="str">
        <f>IF(I$8=1,IF($C181&gt;0,IF(I$10-$E$10&lt;=$D181,$E181,0)+IF(I$10-$F$10&lt;=$D181,$F181,0)+IF(I$10-$G$10&lt;=$D181,$G181,0)+IF(I$10-$H$10&lt;=$D181,$H181,0),0),"")</f>
        <v/>
      </c>
      <c r="I236" s="14" t="str">
        <f>IF(J$8=1,IF($C181&gt;0,IF(J$10-$E$10&lt;=$D181,$E181,0)+IF(J$10-$F$10&lt;=$D181,$F181,0)+IF(J$10-$G$10&lt;=$D181,$G181,0)+IF(J$10-$H$10&lt;=$D181,$H181,0)+IF(J$10-$I$10&lt;=$D181,$I181,0),0),"")</f>
        <v/>
      </c>
      <c r="J236" s="14" t="str">
        <f>IF(K$8=1,IF($C181&gt;0,IF(K$10-$E$10&lt;=$D181,$E181,0)+IF(K$10-$F$10&lt;=$D181,$F181,0)+IF(K$10-$G$10&lt;=$D181,$G181,0)+IF(K$10-$H$10&lt;=$D181,$H181,0)+IF(K$10-$I$10&lt;=$D181,$I181,0)+IF(K$10-$J$10&lt;=$D181,$J181,0),0),"")</f>
        <v/>
      </c>
      <c r="K236" s="14" t="str">
        <f>IF(L$8=1,IF($C181&gt;0,IF(L$10-$E$10&lt;=$D181,$E181,0)+IF(L$10-$F$10&lt;=$D181,$F181,0)+IF(L$10-$G$10&lt;=$D181,$G181,0)+IF(L$10-$H$10&lt;=$D181,$H181,0)+IF(L$10-$I$10&lt;=$D181,$I181,0)+IF(L$10-$J$10&lt;=$D181,$J181,0)+IF(L$10-$K$10&lt;=$D181,$K181,0),0),"")</f>
        <v/>
      </c>
      <c r="L236" s="14" t="str">
        <f>IF(M$8=1,IF($C181&gt;0,IF(M$10-$E$10&lt;=$D181,$E181,0)+IF(M$10-$F$10&lt;=$D181,$F181,0)+IF(M$10-$G$10&lt;=$D181,$G181,0)+IF(M$10-$H$10&lt;=$D181,$H181,0)+IF(M$10-$I$10&lt;=$D181,$I181,0)+IF(M$10-$J$10&lt;=$D181,$J181,0)+IF(M$10-$K$10&lt;=$D181,$K181,0)+IF(M$10-$L$10&lt;=$D181,$L181,0),0),"")</f>
        <v/>
      </c>
      <c r="M236" s="14" t="str">
        <f>IF(N$8=1,IF($C181&gt;0,IF(N$10-$E$10&lt;=$D181,$E181,0)+IF(N$10-$F$10&lt;=$D181,$F181,0)+IF(N$10-$G$10&lt;=$D181,$G181,0)+IF(N$10-$H$10&lt;=$D181,$H181,0)+IF(N$10-$I$10&lt;=$D181,$I181,0)+IF(N$10-$J$10&lt;=$D181,$J181,0)+IF(N$10-$K$10&lt;=$D181,$K181,0)+IF(N$10-$L$10&lt;=$D181,$L181,0),0)+IF(N$10-$M$10&lt;=$D181,$M181,0),"")</f>
        <v/>
      </c>
      <c r="N236" s="14" t="str">
        <f>IF(O$8=1,IF($C181&gt;0,IF(O$10-$E$10&lt;=$D181,$E181,0)+IF(O$10-$F$10&lt;=$D181,$F181,0)+IF(O$10-$G$10&lt;=$D181,$G181,0)+IF(O$10-$H$10&lt;=$D181,$H181,0)+IF(O$10-$I$10&lt;=$D181,$I181,0)+IF(O$10-$J$10&lt;=$D181,$J181,0)+IF(O$10-$K$10&lt;=$D181,$K181,0)+IF(O$10-$L$10&lt;=$D181,$L181,0),0)+IF(O$10-$M$10&lt;=$D181,$M181,0)+IF(O$10-$N$10&lt;=$D181,$N181,0),"")</f>
        <v/>
      </c>
      <c r="O236" s="14" t="str">
        <f>IF(P$8=1,IF($C181&gt;0,IF(P$10-$E$10&lt;=$D181,$E181,0)+IF(P$10-$F$10&lt;=$D181,$F181,0)+IF(P$10-$G$10&lt;=$D181,$G181,0)+IF(P$10-$H$10&lt;=$D181,$H181,0)+IF(P$10-$I$10&lt;=$D181,$I181,0)+IF(P$10-$J$10&lt;=$D181,$J181,0)+IF(P$10-$K$10&lt;=$D181,$K181,0)+IF(P$10-$L$10&lt;=$D181,$L181,0),0)+IF(P$10-$M$10&lt;=$D181,$M181,0)+IF(P$10-$N$10&lt;=$D181,$N181,0)+IF(P$10-$O$10&lt;=$D181,$O181,0),"")</f>
        <v/>
      </c>
      <c r="P236" s="14" t="str">
        <f>IF(Q$8=1,IF($C181&gt;0,IF(Q$10-$E$10&lt;=$D181,$E181,0)+IF(Q$10-$F$10&lt;=$D181,$F181,0)+IF(Q$10-$G$10&lt;=$D181,$G181,0)+IF(Q$10-$H$10&lt;=$D181,$H181,0)+IF(Q$10-$I$10&lt;=$D181,$I181,0)+IF(Q$10-$J$10&lt;=$D181,$J181,0)+IF(Q$10-$K$10&lt;=$D181,$K181,0)+IF(Q$10-$L$10&lt;=$D181,$L181,0),0)+IF(Q$10-$M$10&lt;=$D181,$M181,0)+IF(Q$10-$N$10&lt;=$D181,$N181,0)+IF(Q$10-$O$10&lt;=$D181,$O181,0)+IF(Q$10-$P$10&lt;=$D181,$P181,0),"")</f>
        <v/>
      </c>
      <c r="Q236" s="14" t="str">
        <f>IF(R$8=1,IF($C181&gt;0,IF(R$10-$E$10&lt;=$D181,$E181,0)+IF(R$10-$F$10&lt;=$D181,$F181,0)+IF(R$10-$G$10&lt;=$D181,$G181,0)+IF(R$10-$H$10&lt;=$D181,$H181,0)+IF(R$10-$I$10&lt;=$D181,$I181,0)+IF(R$10-$J$10&lt;=$D181,$J181,0)+IF(R$10-$K$10&lt;=$D181,$K181,0)+IF(R$10-$L$10&lt;=$D181,$L181,0),0)+IF(R$10-$M$10&lt;=$D181,$M181,0)+IF(R$10-$N$10&lt;=$D181,$N181,0)+IF(R$10-$O$10&lt;=$D181,$O181,0)+IF(R$10-$P$10&lt;=$D181,$P181,0)+IF(R$10-$Q$10&lt;=$D181,$Q181,0),"")</f>
        <v/>
      </c>
      <c r="R236" s="14" t="str">
        <f>IF(S$8=1,IF($C181&gt;0,IF(S$10-$E$10&lt;=$D181,$E181,0)+IF(S$10-$F$10&lt;=$D181,$F181,0)+IF(S$10-$G$10&lt;=$D181,$G181,0)+IF(S$10-$H$10&lt;=$D181,$H181,0)+IF(S$10-$I$10&lt;=$D181,$I181,0)+IF(S$10-$J$10&lt;=$D181,$J181,0)+IF(S$10-$K$10&lt;=$D181,$K181,0)+IF(S$10-$L$10&lt;=$D181,$L181,0),0)+IF(S$10-$M$10&lt;=$D181,$M181,0)+IF(S$10-$N$10&lt;=$D181,$N181,0)+IF(S$10-$O$10&lt;=$D181,$O181,0)+IF(S$10-$P$10&lt;=$D181,$P181,0)+IF(S$10-$Q$10&lt;=$D181,$Q181,0)+IF(S$10-$R$10&lt;=$D181,$R181,0),"")</f>
        <v/>
      </c>
      <c r="S236" s="14" t="str">
        <f>IF(T$8=1,IF($C181&gt;0,IF(T$10-$E$10&lt;=$D181,$E181,0)+IF(T$10-$F$10&lt;=$D181,$F181,0)+IF(T$10-$G$10&lt;=$D181,$G181,0)+IF(T$10-$H$10&lt;=$D181,$H181,0)+IF(T$10-$I$10&lt;=$D181,$I181,0)+IF(T$10-$J$10&lt;=$D181,$J181,0)+IF(T$10-$K$10&lt;=$D181,$K181,0)+IF(T$10-$L$10&lt;=$D181,$L181,0),0)+IF(T$10-$M$10&lt;=$D181,$M181,0)+IF(T$10-$N$10&lt;=$D181,$N181,0)+IF(T$10-$O$10&lt;=$D181,$O181,0)+IF(T$10-$P$10&lt;=$D181,$P181,0)+IF(T$10-$Q$10&lt;=$D181,$Q181,0)+IF(T$10-$R$10&lt;=$D181,$R181,0)+IF(T$10-$S$10&lt;=$D181,$S181,0),"")</f>
        <v/>
      </c>
    </row>
    <row r="237" spans="2:19">
      <c r="B237" s="50" t="str">
        <f>B182</f>
        <v>PI 3</v>
      </c>
      <c r="C237" s="51" t="str">
        <f>IF(C182&gt;0,C182,"")</f>
        <v/>
      </c>
      <c r="D237" s="39"/>
      <c r="E237" s="14">
        <f>IF(F$8=1,IF($C182&gt;0,IF(F$10-$E$10&lt;=$D182,$E182,0),0),"")</f>
        <v>0</v>
      </c>
      <c r="F237" s="14">
        <f>IF(G$8=1,IF($C182&gt;0,IF(G$10-$E$10&lt;=$D182,$E182,0)+IF(G$10-$F$10&lt;=$D182,$F182,0),0),"")</f>
        <v>0</v>
      </c>
      <c r="G237" s="14" t="str">
        <f>IF(H$8=1,IF($C182&gt;0,IF(H$10-$E$10&lt;=$D182,$E182,0)+IF(H$10-$F$10&lt;=$D182,$F182,0)+IF(H$10-$G$10&lt;=$D182,$G182,0),0),"")</f>
        <v/>
      </c>
      <c r="H237" s="14" t="str">
        <f>IF(I$8=1,IF($C182&gt;0,IF(I$10-$E$10&lt;=$D182,$E182,0)+IF(I$10-$F$10&lt;=$D182,$F182,0)+IF(I$10-$G$10&lt;=$D182,$G182,0)+IF(I$10-$H$10&lt;=$D182,$H182,0),0),"")</f>
        <v/>
      </c>
      <c r="I237" s="14" t="str">
        <f>IF(J$8=1,IF($C182&gt;0,IF(J$10-$E$10&lt;=$D182,$E182,0)+IF(J$10-$F$10&lt;=$D182,$F182,0)+IF(J$10-$G$10&lt;=$D182,$G182,0)+IF(J$10-$H$10&lt;=$D182,$H182,0)+IF(J$10-$I$10&lt;=$D182,$I182,0),0),"")</f>
        <v/>
      </c>
      <c r="J237" s="14" t="str">
        <f>IF(K$8=1,IF($C182&gt;0,IF(K$10-$E$10&lt;=$D182,$E182,0)+IF(K$10-$F$10&lt;=$D182,$F182,0)+IF(K$10-$G$10&lt;=$D182,$G182,0)+IF(K$10-$H$10&lt;=$D182,$H182,0)+IF(K$10-$I$10&lt;=$D182,$I182,0)+IF(K$10-$J$10&lt;=$D182,$J182,0),0),"")</f>
        <v/>
      </c>
      <c r="K237" s="14" t="str">
        <f>IF(L$8=1,IF($C182&gt;0,IF(L$10-$E$10&lt;=$D182,$E182,0)+IF(L$10-$F$10&lt;=$D182,$F182,0)+IF(L$10-$G$10&lt;=$D182,$G182,0)+IF(L$10-$H$10&lt;=$D182,$H182,0)+IF(L$10-$I$10&lt;=$D182,$I182,0)+IF(L$10-$J$10&lt;=$D182,$J182,0)+IF(L$10-$K$10&lt;=$D182,$K182,0),0),"")</f>
        <v/>
      </c>
      <c r="L237" s="14" t="str">
        <f>IF(M$8=1,IF($C182&gt;0,IF(M$10-$E$10&lt;=$D182,$E182,0)+IF(M$10-$F$10&lt;=$D182,$F182,0)+IF(M$10-$G$10&lt;=$D182,$G182,0)+IF(M$10-$H$10&lt;=$D182,$H182,0)+IF(M$10-$I$10&lt;=$D182,$I182,0)+IF(M$10-$J$10&lt;=$D182,$J182,0)+IF(M$10-$K$10&lt;=$D182,$K182,0)+IF(M$10-$L$10&lt;=$D182,$L182,0),0),"")</f>
        <v/>
      </c>
      <c r="M237" s="14" t="str">
        <f>IF(N$8=1,IF($C182&gt;0,IF(N$10-$E$10&lt;=$D182,$E182,0)+IF(N$10-$F$10&lt;=$D182,$F182,0)+IF(N$10-$G$10&lt;=$D182,$G182,0)+IF(N$10-$H$10&lt;=$D182,$H182,0)+IF(N$10-$I$10&lt;=$D182,$I182,0)+IF(N$10-$J$10&lt;=$D182,$J182,0)+IF(N$10-$K$10&lt;=$D182,$K182,0)+IF(N$10-$L$10&lt;=$D182,$L182,0),0)+IF(N$10-$M$10&lt;=$D182,$M182,0),"")</f>
        <v/>
      </c>
      <c r="N237" s="14" t="str">
        <f>IF(O$8=1,IF($C182&gt;0,IF(O$10-$E$10&lt;=$D182,$E182,0)+IF(O$10-$F$10&lt;=$D182,$F182,0)+IF(O$10-$G$10&lt;=$D182,$G182,0)+IF(O$10-$H$10&lt;=$D182,$H182,0)+IF(O$10-$I$10&lt;=$D182,$I182,0)+IF(O$10-$J$10&lt;=$D182,$J182,0)+IF(O$10-$K$10&lt;=$D182,$K182,0)+IF(O$10-$L$10&lt;=$D182,$L182,0),0)+IF(O$10-$M$10&lt;=$D182,$M182,0)+IF(O$10-$N$10&lt;=$D182,$N182,0),"")</f>
        <v/>
      </c>
      <c r="O237" s="14" t="str">
        <f>IF(P$8=1,IF($C182&gt;0,IF(P$10-$E$10&lt;=$D182,$E182,0)+IF(P$10-$F$10&lt;=$D182,$F182,0)+IF(P$10-$G$10&lt;=$D182,$G182,0)+IF(P$10-$H$10&lt;=$D182,$H182,0)+IF(P$10-$I$10&lt;=$D182,$I182,0)+IF(P$10-$J$10&lt;=$D182,$J182,0)+IF(P$10-$K$10&lt;=$D182,$K182,0)+IF(P$10-$L$10&lt;=$D182,$L182,0),0)+IF(P$10-$M$10&lt;=$D182,$M182,0)+IF(P$10-$N$10&lt;=$D182,$N182,0)+IF(P$10-$O$10&lt;=$D182,$O182,0),"")</f>
        <v/>
      </c>
      <c r="P237" s="14" t="str">
        <f>IF(Q$8=1,IF($C182&gt;0,IF(Q$10-$E$10&lt;=$D182,$E182,0)+IF(Q$10-$F$10&lt;=$D182,$F182,0)+IF(Q$10-$G$10&lt;=$D182,$G182,0)+IF(Q$10-$H$10&lt;=$D182,$H182,0)+IF(Q$10-$I$10&lt;=$D182,$I182,0)+IF(Q$10-$J$10&lt;=$D182,$J182,0)+IF(Q$10-$K$10&lt;=$D182,$K182,0)+IF(Q$10-$L$10&lt;=$D182,$L182,0),0)+IF(Q$10-$M$10&lt;=$D182,$M182,0)+IF(Q$10-$N$10&lt;=$D182,$N182,0)+IF(Q$10-$O$10&lt;=$D182,$O182,0)+IF(Q$10-$P$10&lt;=$D182,$P182,0),"")</f>
        <v/>
      </c>
      <c r="Q237" s="14" t="str">
        <f>IF(R$8=1,IF($C182&gt;0,IF(R$10-$E$10&lt;=$D182,$E182,0)+IF(R$10-$F$10&lt;=$D182,$F182,0)+IF(R$10-$G$10&lt;=$D182,$G182,0)+IF(R$10-$H$10&lt;=$D182,$H182,0)+IF(R$10-$I$10&lt;=$D182,$I182,0)+IF(R$10-$J$10&lt;=$D182,$J182,0)+IF(R$10-$K$10&lt;=$D182,$K182,0)+IF(R$10-$L$10&lt;=$D182,$L182,0),0)+IF(R$10-$M$10&lt;=$D182,$M182,0)+IF(R$10-$N$10&lt;=$D182,$N182,0)+IF(R$10-$O$10&lt;=$D182,$O182,0)+IF(R$10-$P$10&lt;=$D182,$P182,0)+IF(R$10-$Q$10&lt;=$D182,$Q182,0),"")</f>
        <v/>
      </c>
      <c r="R237" s="14" t="str">
        <f>IF(S$8=1,IF($C182&gt;0,IF(S$10-$E$10&lt;=$D182,$E182,0)+IF(S$10-$F$10&lt;=$D182,$F182,0)+IF(S$10-$G$10&lt;=$D182,$G182,0)+IF(S$10-$H$10&lt;=$D182,$H182,0)+IF(S$10-$I$10&lt;=$D182,$I182,0)+IF(S$10-$J$10&lt;=$D182,$J182,0)+IF(S$10-$K$10&lt;=$D182,$K182,0)+IF(S$10-$L$10&lt;=$D182,$L182,0),0)+IF(S$10-$M$10&lt;=$D182,$M182,0)+IF(S$10-$N$10&lt;=$D182,$N182,0)+IF(S$10-$O$10&lt;=$D182,$O182,0)+IF(S$10-$P$10&lt;=$D182,$P182,0)+IF(S$10-$Q$10&lt;=$D182,$Q182,0)+IF(S$10-$R$10&lt;=$D182,$R182,0),"")</f>
        <v/>
      </c>
      <c r="S237" s="14" t="str">
        <f>IF(T$8=1,IF($C182&gt;0,IF(T$10-$E$10&lt;=$D182,$E182,0)+IF(T$10-$F$10&lt;=$D182,$F182,0)+IF(T$10-$G$10&lt;=$D182,$G182,0)+IF(T$10-$H$10&lt;=$D182,$H182,0)+IF(T$10-$I$10&lt;=$D182,$I182,0)+IF(T$10-$J$10&lt;=$D182,$J182,0)+IF(T$10-$K$10&lt;=$D182,$K182,0)+IF(T$10-$L$10&lt;=$D182,$L182,0),0)+IF(T$10-$M$10&lt;=$D182,$M182,0)+IF(T$10-$N$10&lt;=$D182,$N182,0)+IF(T$10-$O$10&lt;=$D182,$O182,0)+IF(T$10-$P$10&lt;=$D182,$P182,0)+IF(T$10-$Q$10&lt;=$D182,$Q182,0)+IF(T$10-$R$10&lt;=$D182,$R182,0)+IF(T$10-$S$10&lt;=$D182,$S182,0),"")</f>
        <v/>
      </c>
    </row>
    <row r="238" spans="2:19">
      <c r="B238" s="50" t="str">
        <f>B183</f>
        <v>PI 4</v>
      </c>
      <c r="C238" s="51" t="str">
        <f>IF(C183&gt;0,C183,"")</f>
        <v/>
      </c>
      <c r="D238" s="39"/>
      <c r="E238" s="14">
        <f>IF(F$8=1,IF($C183&gt;0,IF(F$10-$E$10&lt;=$D183,$E183,0),0),"")</f>
        <v>0</v>
      </c>
      <c r="F238" s="14">
        <f>IF(G$8=1,IF($C183&gt;0,IF(G$10-$E$10&lt;=$D183,$E183,0)+IF(G$10-$F$10&lt;=$D183,$F183,0),0),"")</f>
        <v>0</v>
      </c>
      <c r="G238" s="14" t="str">
        <f>IF(H$8=1,IF($C183&gt;0,IF(H$10-$E$10&lt;=$D183,$E183,0)+IF(H$10-$F$10&lt;=$D183,$F183,0)+IF(H$10-$G$10&lt;=$D183,$G183,0),0),"")</f>
        <v/>
      </c>
      <c r="H238" s="14" t="str">
        <f>IF(I$8=1,IF($C183&gt;0,IF(I$10-$E$10&lt;=$D183,$E183,0)+IF(I$10-$F$10&lt;=$D183,$F183,0)+IF(I$10-$G$10&lt;=$D183,$G183,0)+IF(I$10-$H$10&lt;=$D183,$H183,0),0),"")</f>
        <v/>
      </c>
      <c r="I238" s="14" t="str">
        <f>IF(J$8=1,IF($C183&gt;0,IF(J$10-$E$10&lt;=$D183,$E183,0)+IF(J$10-$F$10&lt;=$D183,$F183,0)+IF(J$10-$G$10&lt;=$D183,$G183,0)+IF(J$10-$H$10&lt;=$D183,$H183,0)+IF(J$10-$I$10&lt;=$D183,$I183,0),0),"")</f>
        <v/>
      </c>
      <c r="J238" s="14" t="str">
        <f>IF(K$8=1,IF($C183&gt;0,IF(K$10-$E$10&lt;=$D183,$E183,0)+IF(K$10-$F$10&lt;=$D183,$F183,0)+IF(K$10-$G$10&lt;=$D183,$G183,0)+IF(K$10-$H$10&lt;=$D183,$H183,0)+IF(K$10-$I$10&lt;=$D183,$I183,0)+IF(K$10-$J$10&lt;=$D183,$J183,0),0),"")</f>
        <v/>
      </c>
      <c r="K238" s="14" t="str">
        <f>IF(L$8=1,IF($C183&gt;0,IF(L$10-$E$10&lt;=$D183,$E183,0)+IF(L$10-$F$10&lt;=$D183,$F183,0)+IF(L$10-$G$10&lt;=$D183,$G183,0)+IF(L$10-$H$10&lt;=$D183,$H183,0)+IF(L$10-$I$10&lt;=$D183,$I183,0)+IF(L$10-$J$10&lt;=$D183,$J183,0)+IF(L$10-$K$10&lt;=$D183,$K183,0),0),"")</f>
        <v/>
      </c>
      <c r="L238" s="14" t="str">
        <f>IF(M$8=1,IF($C183&gt;0,IF(M$10-$E$10&lt;=$D183,$E183,0)+IF(M$10-$F$10&lt;=$D183,$F183,0)+IF(M$10-$G$10&lt;=$D183,$G183,0)+IF(M$10-$H$10&lt;=$D183,$H183,0)+IF(M$10-$I$10&lt;=$D183,$I183,0)+IF(M$10-$J$10&lt;=$D183,$J183,0)+IF(M$10-$K$10&lt;=$D183,$K183,0)+IF(M$10-$L$10&lt;=$D183,$L183,0),0),"")</f>
        <v/>
      </c>
      <c r="M238" s="14" t="str">
        <f>IF(N$8=1,IF($C183&gt;0,IF(N$10-$E$10&lt;=$D183,$E183,0)+IF(N$10-$F$10&lt;=$D183,$F183,0)+IF(N$10-$G$10&lt;=$D183,$G183,0)+IF(N$10-$H$10&lt;=$D183,$H183,0)+IF(N$10-$I$10&lt;=$D183,$I183,0)+IF(N$10-$J$10&lt;=$D183,$J183,0)+IF(N$10-$K$10&lt;=$D183,$K183,0)+IF(N$10-$L$10&lt;=$D183,$L183,0),0)+IF(N$10-$M$10&lt;=$D183,$M183,0),"")</f>
        <v/>
      </c>
      <c r="N238" s="14" t="str">
        <f>IF(O$8=1,IF($C183&gt;0,IF(O$10-$E$10&lt;=$D183,$E183,0)+IF(O$10-$F$10&lt;=$D183,$F183,0)+IF(O$10-$G$10&lt;=$D183,$G183,0)+IF(O$10-$H$10&lt;=$D183,$H183,0)+IF(O$10-$I$10&lt;=$D183,$I183,0)+IF(O$10-$J$10&lt;=$D183,$J183,0)+IF(O$10-$K$10&lt;=$D183,$K183,0)+IF(O$10-$L$10&lt;=$D183,$L183,0),0)+IF(O$10-$M$10&lt;=$D183,$M183,0)+IF(O$10-$N$10&lt;=$D183,$N183,0),"")</f>
        <v/>
      </c>
      <c r="O238" s="14" t="str">
        <f>IF(P$8=1,IF($C183&gt;0,IF(P$10-$E$10&lt;=$D183,$E183,0)+IF(P$10-$F$10&lt;=$D183,$F183,0)+IF(P$10-$G$10&lt;=$D183,$G183,0)+IF(P$10-$H$10&lt;=$D183,$H183,0)+IF(P$10-$I$10&lt;=$D183,$I183,0)+IF(P$10-$J$10&lt;=$D183,$J183,0)+IF(P$10-$K$10&lt;=$D183,$K183,0)+IF(P$10-$L$10&lt;=$D183,$L183,0),0)+IF(P$10-$M$10&lt;=$D183,$M183,0)+IF(P$10-$N$10&lt;=$D183,$N183,0)+IF(P$10-$O$10&lt;=$D183,$O183,0),"")</f>
        <v/>
      </c>
      <c r="P238" s="14" t="str">
        <f>IF(Q$8=1,IF($C183&gt;0,IF(Q$10-$E$10&lt;=$D183,$E183,0)+IF(Q$10-$F$10&lt;=$D183,$F183,0)+IF(Q$10-$G$10&lt;=$D183,$G183,0)+IF(Q$10-$H$10&lt;=$D183,$H183,0)+IF(Q$10-$I$10&lt;=$D183,$I183,0)+IF(Q$10-$J$10&lt;=$D183,$J183,0)+IF(Q$10-$K$10&lt;=$D183,$K183,0)+IF(Q$10-$L$10&lt;=$D183,$L183,0),0)+IF(Q$10-$M$10&lt;=$D183,$M183,0)+IF(Q$10-$N$10&lt;=$D183,$N183,0)+IF(Q$10-$O$10&lt;=$D183,$O183,0)+IF(Q$10-$P$10&lt;=$D183,$P183,0),"")</f>
        <v/>
      </c>
      <c r="Q238" s="14" t="str">
        <f>IF(R$8=1,IF($C183&gt;0,IF(R$10-$E$10&lt;=$D183,$E183,0)+IF(R$10-$F$10&lt;=$D183,$F183,0)+IF(R$10-$G$10&lt;=$D183,$G183,0)+IF(R$10-$H$10&lt;=$D183,$H183,0)+IF(R$10-$I$10&lt;=$D183,$I183,0)+IF(R$10-$J$10&lt;=$D183,$J183,0)+IF(R$10-$K$10&lt;=$D183,$K183,0)+IF(R$10-$L$10&lt;=$D183,$L183,0),0)+IF(R$10-$M$10&lt;=$D183,$M183,0)+IF(R$10-$N$10&lt;=$D183,$N183,0)+IF(R$10-$O$10&lt;=$D183,$O183,0)+IF(R$10-$P$10&lt;=$D183,$P183,0)+IF(R$10-$Q$10&lt;=$D183,$Q183,0),"")</f>
        <v/>
      </c>
      <c r="R238" s="14" t="str">
        <f>IF(S$8=1,IF($C183&gt;0,IF(S$10-$E$10&lt;=$D183,$E183,0)+IF(S$10-$F$10&lt;=$D183,$F183,0)+IF(S$10-$G$10&lt;=$D183,$G183,0)+IF(S$10-$H$10&lt;=$D183,$H183,0)+IF(S$10-$I$10&lt;=$D183,$I183,0)+IF(S$10-$J$10&lt;=$D183,$J183,0)+IF(S$10-$K$10&lt;=$D183,$K183,0)+IF(S$10-$L$10&lt;=$D183,$L183,0),0)+IF(S$10-$M$10&lt;=$D183,$M183,0)+IF(S$10-$N$10&lt;=$D183,$N183,0)+IF(S$10-$O$10&lt;=$D183,$O183,0)+IF(S$10-$P$10&lt;=$D183,$P183,0)+IF(S$10-$Q$10&lt;=$D183,$Q183,0)+IF(S$10-$R$10&lt;=$D183,$R183,0),"")</f>
        <v/>
      </c>
      <c r="S238" s="14" t="str">
        <f>IF(T$8=1,IF($C183&gt;0,IF(T$10-$E$10&lt;=$D183,$E183,0)+IF(T$10-$F$10&lt;=$D183,$F183,0)+IF(T$10-$G$10&lt;=$D183,$G183,0)+IF(T$10-$H$10&lt;=$D183,$H183,0)+IF(T$10-$I$10&lt;=$D183,$I183,0)+IF(T$10-$J$10&lt;=$D183,$J183,0)+IF(T$10-$K$10&lt;=$D183,$K183,0)+IF(T$10-$L$10&lt;=$D183,$L183,0),0)+IF(T$10-$M$10&lt;=$D183,$M183,0)+IF(T$10-$N$10&lt;=$D183,$N183,0)+IF(T$10-$O$10&lt;=$D183,$O183,0)+IF(T$10-$P$10&lt;=$D183,$P183,0)+IF(T$10-$Q$10&lt;=$D183,$Q183,0)+IF(T$10-$R$10&lt;=$D183,$R183,0)+IF(T$10-$S$10&lt;=$D183,$S183,0),"")</f>
        <v/>
      </c>
    </row>
    <row r="239" spans="2:19">
      <c r="B239" s="21" t="s">
        <v>129</v>
      </c>
      <c r="C239" s="39"/>
      <c r="D239" s="39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9">
      <c r="B240" s="50" t="str">
        <f>B185</f>
        <v>OAI 1</v>
      </c>
      <c r="C240" s="51">
        <v>0.1</v>
      </c>
      <c r="D240" s="39"/>
      <c r="E240" s="14">
        <f>IF(F$8=1,IF($C185&gt;0,IF(F$10-$E$10&lt;=$D185,$E185,0),0),"")</f>
        <v>3000</v>
      </c>
      <c r="F240" s="14">
        <f>IF(G$8=1,IF($C185&gt;0,IF(G$10-$E$10&lt;=$D185,$E185,0)+IF(G$10-$F$10&lt;=$D185,$F185,0),0),"")</f>
        <v>3000</v>
      </c>
      <c r="G240" s="14" t="str">
        <f>IF(H$8=1,IF($C185&gt;0,IF(H$10-$E$10&lt;=$D185,$E185,0)+IF(H$10-$F$10&lt;=$D185,$F185,0)+IF(H$10-$G$10&lt;=$D185,$G185,0),0),"")</f>
        <v/>
      </c>
      <c r="H240" s="14" t="str">
        <f>IF(I$8=1,IF($C185&gt;0,IF(I$10-$E$10&lt;=$D185,$E185,0)+IF(I$10-$F$10&lt;=$D185,$F185,0)+IF(I$10-$G$10&lt;=$D185,$G185,0)+IF(I$10-$H$10&lt;=$D185,$H185,0),0),"")</f>
        <v/>
      </c>
      <c r="I240" s="14" t="str">
        <f>IF(J$8=1,IF($C185&gt;0,IF(J$10-$E$10&lt;=$D185,$E185,0)+IF(J$10-$F$10&lt;=$D185,$F185,0)+IF(J$10-$G$10&lt;=$D185,$G185,0)+IF(J$10-$H$10&lt;=$D185,$H185,0)+IF(J$10-$I$10&lt;=$D185,$I185,0),0),"")</f>
        <v/>
      </c>
      <c r="J240" s="14" t="str">
        <f>IF(K$8=1,IF($C185&gt;0,IF(K$10-$E$10&lt;=$D185,$E185,0)+IF(K$10-$F$10&lt;=$D185,$F185,0)+IF(K$10-$G$10&lt;=$D185,$G185,0)+IF(K$10-$H$10&lt;=$D185,$H185,0)+IF(K$10-$I$10&lt;=$D185,$I185,0)+IF(K$10-$J$10&lt;=$D185,$J185,0),0),"")</f>
        <v/>
      </c>
      <c r="K240" s="14" t="str">
        <f>IF(L$8=1,IF($C185&gt;0,IF(L$10-$E$10&lt;=$D185,$E185,0)+IF(L$10-$F$10&lt;=$D185,$F185,0)+IF(L$10-$G$10&lt;=$D185,$G185,0)+IF(L$10-$H$10&lt;=$D185,$H185,0)+IF(L$10-$I$10&lt;=$D185,$I185,0)+IF(L$10-$J$10&lt;=$D185,$J185,0)+IF(L$10-$K$10&lt;=$D185,$K185,0),0),"")</f>
        <v/>
      </c>
      <c r="L240" s="14" t="str">
        <f>IF(M$8=1,IF($C185&gt;0,IF(M$10-$E$10&lt;=$D185,$E185,0)+IF(M$10-$F$10&lt;=$D185,$F185,0)+IF(M$10-$G$10&lt;=$D185,$G185,0)+IF(M$10-$H$10&lt;=$D185,$H185,0)+IF(M$10-$I$10&lt;=$D185,$I185,0)+IF(M$10-$J$10&lt;=$D185,$J185,0)+IF(M$10-$K$10&lt;=$D185,$K185,0)+IF(M$10-$L$10&lt;=$D185,$L185,0),0),"")</f>
        <v/>
      </c>
      <c r="M240" s="14" t="str">
        <f>IF(N$8=1,IF($C185&gt;0,IF(N$10-$E$10&lt;=$D185,$E185,0)+IF(N$10-$F$10&lt;=$D185,$F185,0)+IF(N$10-$G$10&lt;=$D185,$G185,0)+IF(N$10-$H$10&lt;=$D185,$H185,0)+IF(N$10-$I$10&lt;=$D185,$I185,0)+IF(N$10-$J$10&lt;=$D185,$J185,0)+IF(N$10-$K$10&lt;=$D185,$K185,0)+IF(N$10-$L$10&lt;=$D185,$L185,0),0)+IF(N$10-$M$10&lt;=$D185,$M185,0),"")</f>
        <v/>
      </c>
      <c r="N240" s="14" t="str">
        <f>IF(O$8=1,IF($C185&gt;0,IF(O$10-$E$10&lt;=$D185,$E185,0)+IF(O$10-$F$10&lt;=$D185,$F185,0)+IF(O$10-$G$10&lt;=$D185,$G185,0)+IF(O$10-$H$10&lt;=$D185,$H185,0)+IF(O$10-$I$10&lt;=$D185,$I185,0)+IF(O$10-$J$10&lt;=$D185,$J185,0)+IF(O$10-$K$10&lt;=$D185,$K185,0)+IF(O$10-$L$10&lt;=$D185,$L185,0),0)+IF(O$10-$M$10&lt;=$D185,$M185,0)+IF(O$10-$N$10&lt;=$D185,$N185,0),"")</f>
        <v/>
      </c>
      <c r="O240" s="14" t="str">
        <f>IF(P$8=1,IF($C185&gt;0,IF(P$10-$E$10&lt;=$D185,$E185,0)+IF(P$10-$F$10&lt;=$D185,$F185,0)+IF(P$10-$G$10&lt;=$D185,$G185,0)+IF(P$10-$H$10&lt;=$D185,$H185,0)+IF(P$10-$I$10&lt;=$D185,$I185,0)+IF(P$10-$J$10&lt;=$D185,$J185,0)+IF(P$10-$K$10&lt;=$D185,$K185,0)+IF(P$10-$L$10&lt;=$D185,$L185,0),0)+IF(P$10-$M$10&lt;=$D185,$M185,0)+IF(P$10-$N$10&lt;=$D185,$N185,0)+IF(P$10-$O$10&lt;=$D185,$O185,0),"")</f>
        <v/>
      </c>
      <c r="P240" s="14" t="str">
        <f>IF(Q$8=1,IF($C185&gt;0,IF(Q$10-$E$10&lt;=$D185,$E185,0)+IF(Q$10-$F$10&lt;=$D185,$F185,0)+IF(Q$10-$G$10&lt;=$D185,$G185,0)+IF(Q$10-$H$10&lt;=$D185,$H185,0)+IF(Q$10-$I$10&lt;=$D185,$I185,0)+IF(Q$10-$J$10&lt;=$D185,$J185,0)+IF(Q$10-$K$10&lt;=$D185,$K185,0)+IF(Q$10-$L$10&lt;=$D185,$L185,0),0)+IF(Q$10-$M$10&lt;=$D185,$M185,0)+IF(Q$10-$N$10&lt;=$D185,$N185,0)+IF(Q$10-$O$10&lt;=$D185,$O185,0)+IF(Q$10-$P$10&lt;=$D185,$P185,0),"")</f>
        <v/>
      </c>
      <c r="Q240" s="14" t="str">
        <f>IF(R$8=1,IF($C185&gt;0,IF(R$10-$E$10&lt;=$D185,$E185,0)+IF(R$10-$F$10&lt;=$D185,$F185,0)+IF(R$10-$G$10&lt;=$D185,$G185,0)+IF(R$10-$H$10&lt;=$D185,$H185,0)+IF(R$10-$I$10&lt;=$D185,$I185,0)+IF(R$10-$J$10&lt;=$D185,$J185,0)+IF(R$10-$K$10&lt;=$D185,$K185,0)+IF(R$10-$L$10&lt;=$D185,$L185,0),0)+IF(R$10-$M$10&lt;=$D185,$M185,0)+IF(R$10-$N$10&lt;=$D185,$N185,0)+IF(R$10-$O$10&lt;=$D185,$O185,0)+IF(R$10-$P$10&lt;=$D185,$P185,0)+IF(R$10-$Q$10&lt;=$D185,$Q185,0),"")</f>
        <v/>
      </c>
      <c r="R240" s="14" t="str">
        <f>IF(S$8=1,IF($C185&gt;0,IF(S$10-$E$10&lt;=$D185,$E185,0)+IF(S$10-$F$10&lt;=$D185,$F185,0)+IF(S$10-$G$10&lt;=$D185,$G185,0)+IF(S$10-$H$10&lt;=$D185,$H185,0)+IF(S$10-$I$10&lt;=$D185,$I185,0)+IF(S$10-$J$10&lt;=$D185,$J185,0)+IF(S$10-$K$10&lt;=$D185,$K185,0)+IF(S$10-$L$10&lt;=$D185,$L185,0),0)+IF(S$10-$M$10&lt;=$D185,$M185,0)+IF(S$10-$N$10&lt;=$D185,$N185,0)+IF(S$10-$O$10&lt;=$D185,$O185,0)+IF(S$10-$P$10&lt;=$D185,$P185,0)+IF(S$10-$Q$10&lt;=$D185,$Q185,0)+IF(S$10-$R$10&lt;=$D185,$R185,0),"")</f>
        <v/>
      </c>
      <c r="S240" s="14" t="str">
        <f>IF(T$8=1,IF($C185&gt;0,IF(T$10-$E$10&lt;=$D185,$E185,0)+IF(T$10-$F$10&lt;=$D185,$F185,0)+IF(T$10-$G$10&lt;=$D185,$G185,0)+IF(T$10-$H$10&lt;=$D185,$H185,0)+IF(T$10-$I$10&lt;=$D185,$I185,0)+IF(T$10-$J$10&lt;=$D185,$J185,0)+IF(T$10-$K$10&lt;=$D185,$K185,0)+IF(T$10-$L$10&lt;=$D185,$L185,0),0)+IF(T$10-$M$10&lt;=$D185,$M185,0)+IF(T$10-$N$10&lt;=$D185,$N185,0)+IF(T$10-$O$10&lt;=$D185,$O185,0)+IF(T$10-$P$10&lt;=$D185,$P185,0)+IF(T$10-$Q$10&lt;=$D185,$Q185,0)+IF(T$10-$R$10&lt;=$D185,$R185,0)+IF(T$10-$S$10&lt;=$D185,$S185,0),"")</f>
        <v/>
      </c>
    </row>
    <row r="241" spans="2:20">
      <c r="B241" s="50" t="str">
        <f>B186</f>
        <v>OAI 2</v>
      </c>
      <c r="C241" s="51">
        <v>0.1</v>
      </c>
      <c r="D241" s="39"/>
      <c r="E241" s="14">
        <f>IF(F$8=1,IF($C186&gt;0,IF(F$10-$E$10&lt;=$D186,$E186,0),0),"")</f>
        <v>0</v>
      </c>
      <c r="F241" s="14">
        <f>IF(G$8=1,IF($C186&gt;0,IF(G$10-$E$10&lt;=$D186,$E186,0)+IF(G$10-$F$10&lt;=$D186,$F186,0),0),"")</f>
        <v>0</v>
      </c>
      <c r="G241" s="14" t="str">
        <f>IF(H$8=1,IF($C186&gt;0,IF(H$10-$E$10&lt;=$D186,$E186,0)+IF(H$10-$F$10&lt;=$D186,$F186,0)+IF(H$10-$G$10&lt;=$D186,$G186,0),0),"")</f>
        <v/>
      </c>
      <c r="H241" s="14" t="str">
        <f>IF(I$8=1,IF($C186&gt;0,IF(I$10-$E$10&lt;=$D186,$E186,0)+IF(I$10-$F$10&lt;=$D186,$F186,0)+IF(I$10-$G$10&lt;=$D186,$G186,0)+IF(I$10-$H$10&lt;=$D186,$H186,0),0),"")</f>
        <v/>
      </c>
      <c r="I241" s="14" t="str">
        <f>IF(J$8=1,IF($C186&gt;0,IF(J$10-$E$10&lt;=$D186,$E186,0)+IF(J$10-$F$10&lt;=$D186,$F186,0)+IF(J$10-$G$10&lt;=$D186,$G186,0)+IF(J$10-$H$10&lt;=$D186,$H186,0)+IF(J$10-$I$10&lt;=$D186,$I186,0),0),"")</f>
        <v/>
      </c>
      <c r="J241" s="14" t="str">
        <f>IF(K$8=1,IF($C186&gt;0,IF(K$10-$E$10&lt;=$D186,$E186,0)+IF(K$10-$F$10&lt;=$D186,$F186,0)+IF(K$10-$G$10&lt;=$D186,$G186,0)+IF(K$10-$H$10&lt;=$D186,$H186,0)+IF(K$10-$I$10&lt;=$D186,$I186,0)+IF(K$10-$J$10&lt;=$D186,$J186,0),0),"")</f>
        <v/>
      </c>
      <c r="K241" s="14" t="str">
        <f>IF(L$8=1,IF($C186&gt;0,IF(L$10-$E$10&lt;=$D186,$E186,0)+IF(L$10-$F$10&lt;=$D186,$F186,0)+IF(L$10-$G$10&lt;=$D186,$G186,0)+IF(L$10-$H$10&lt;=$D186,$H186,0)+IF(L$10-$I$10&lt;=$D186,$I186,0)+IF(L$10-$J$10&lt;=$D186,$J186,0)+IF(L$10-$K$10&lt;=$D186,$K186,0),0),"")</f>
        <v/>
      </c>
      <c r="L241" s="14" t="str">
        <f>IF(M$8=1,IF($C186&gt;0,IF(M$10-$E$10&lt;=$D186,$E186,0)+IF(M$10-$F$10&lt;=$D186,$F186,0)+IF(M$10-$G$10&lt;=$D186,$G186,0)+IF(M$10-$H$10&lt;=$D186,$H186,0)+IF(M$10-$I$10&lt;=$D186,$I186,0)+IF(M$10-$J$10&lt;=$D186,$J186,0)+IF(M$10-$K$10&lt;=$D186,$K186,0)+IF(M$10-$L$10&lt;=$D186,$L186,0),0),"")</f>
        <v/>
      </c>
      <c r="M241" s="14" t="str">
        <f>IF(N$8=1,IF($C186&gt;0,IF(N$10-$E$10&lt;=$D186,$E186,0)+IF(N$10-$F$10&lt;=$D186,$F186,0)+IF(N$10-$G$10&lt;=$D186,$G186,0)+IF(N$10-$H$10&lt;=$D186,$H186,0)+IF(N$10-$I$10&lt;=$D186,$I186,0)+IF(N$10-$J$10&lt;=$D186,$J186,0)+IF(N$10-$K$10&lt;=$D186,$K186,0)+IF(N$10-$L$10&lt;=$D186,$L186,0),0)+IF(N$10-$M$10&lt;=$D186,$M186,0),"")</f>
        <v/>
      </c>
      <c r="N241" s="14" t="str">
        <f>IF(O$8=1,IF($C186&gt;0,IF(O$10-$E$10&lt;=$D186,$E186,0)+IF(O$10-$F$10&lt;=$D186,$F186,0)+IF(O$10-$G$10&lt;=$D186,$G186,0)+IF(O$10-$H$10&lt;=$D186,$H186,0)+IF(O$10-$I$10&lt;=$D186,$I186,0)+IF(O$10-$J$10&lt;=$D186,$J186,0)+IF(O$10-$K$10&lt;=$D186,$K186,0)+IF(O$10-$L$10&lt;=$D186,$L186,0),0)+IF(O$10-$M$10&lt;=$D186,$M186,0)+IF(O$10-$N$10&lt;=$D186,$N186,0),"")</f>
        <v/>
      </c>
      <c r="O241" s="14" t="str">
        <f>IF(P$8=1,IF($C186&gt;0,IF(P$10-$E$10&lt;=$D186,$E186,0)+IF(P$10-$F$10&lt;=$D186,$F186,0)+IF(P$10-$G$10&lt;=$D186,$G186,0)+IF(P$10-$H$10&lt;=$D186,$H186,0)+IF(P$10-$I$10&lt;=$D186,$I186,0)+IF(P$10-$J$10&lt;=$D186,$J186,0)+IF(P$10-$K$10&lt;=$D186,$K186,0)+IF(P$10-$L$10&lt;=$D186,$L186,0),0)+IF(P$10-$M$10&lt;=$D186,$M186,0)+IF(P$10-$N$10&lt;=$D186,$N186,0)+IF(P$10-$O$10&lt;=$D186,$O186,0),"")</f>
        <v/>
      </c>
      <c r="P241" s="14" t="str">
        <f>IF(Q$8=1,IF($C186&gt;0,IF(Q$10-$E$10&lt;=$D186,$E186,0)+IF(Q$10-$F$10&lt;=$D186,$F186,0)+IF(Q$10-$G$10&lt;=$D186,$G186,0)+IF(Q$10-$H$10&lt;=$D186,$H186,0)+IF(Q$10-$I$10&lt;=$D186,$I186,0)+IF(Q$10-$J$10&lt;=$D186,$J186,0)+IF(Q$10-$K$10&lt;=$D186,$K186,0)+IF(Q$10-$L$10&lt;=$D186,$L186,0),0)+IF(Q$10-$M$10&lt;=$D186,$M186,0)+IF(Q$10-$N$10&lt;=$D186,$N186,0)+IF(Q$10-$O$10&lt;=$D186,$O186,0)+IF(Q$10-$P$10&lt;=$D186,$P186,0),"")</f>
        <v/>
      </c>
      <c r="Q241" s="14" t="str">
        <f>IF(R$8=1,IF($C186&gt;0,IF(R$10-$E$10&lt;=$D186,$E186,0)+IF(R$10-$F$10&lt;=$D186,$F186,0)+IF(R$10-$G$10&lt;=$D186,$G186,0)+IF(R$10-$H$10&lt;=$D186,$H186,0)+IF(R$10-$I$10&lt;=$D186,$I186,0)+IF(R$10-$J$10&lt;=$D186,$J186,0)+IF(R$10-$K$10&lt;=$D186,$K186,0)+IF(R$10-$L$10&lt;=$D186,$L186,0),0)+IF(R$10-$M$10&lt;=$D186,$M186,0)+IF(R$10-$N$10&lt;=$D186,$N186,0)+IF(R$10-$O$10&lt;=$D186,$O186,0)+IF(R$10-$P$10&lt;=$D186,$P186,0)+IF(R$10-$Q$10&lt;=$D186,$Q186,0),"")</f>
        <v/>
      </c>
      <c r="R241" s="14" t="str">
        <f>IF(S$8=1,IF($C186&gt;0,IF(S$10-$E$10&lt;=$D186,$E186,0)+IF(S$10-$F$10&lt;=$D186,$F186,0)+IF(S$10-$G$10&lt;=$D186,$G186,0)+IF(S$10-$H$10&lt;=$D186,$H186,0)+IF(S$10-$I$10&lt;=$D186,$I186,0)+IF(S$10-$J$10&lt;=$D186,$J186,0)+IF(S$10-$K$10&lt;=$D186,$K186,0)+IF(S$10-$L$10&lt;=$D186,$L186,0),0)+IF(S$10-$M$10&lt;=$D186,$M186,0)+IF(S$10-$N$10&lt;=$D186,$N186,0)+IF(S$10-$O$10&lt;=$D186,$O186,0)+IF(S$10-$P$10&lt;=$D186,$P186,0)+IF(S$10-$Q$10&lt;=$D186,$Q186,0)+IF(S$10-$R$10&lt;=$D186,$R186,0),"")</f>
        <v/>
      </c>
      <c r="S241" s="14" t="str">
        <f>IF(T$8=1,IF($C186&gt;0,IF(T$10-$E$10&lt;=$D186,$E186,0)+IF(T$10-$F$10&lt;=$D186,$F186,0)+IF(T$10-$G$10&lt;=$D186,$G186,0)+IF(T$10-$H$10&lt;=$D186,$H186,0)+IF(T$10-$I$10&lt;=$D186,$I186,0)+IF(T$10-$J$10&lt;=$D186,$J186,0)+IF(T$10-$K$10&lt;=$D186,$K186,0)+IF(T$10-$L$10&lt;=$D186,$L186,0),0)+IF(T$10-$M$10&lt;=$D186,$M186,0)+IF(T$10-$N$10&lt;=$D186,$N186,0)+IF(T$10-$O$10&lt;=$D186,$O186,0)+IF(T$10-$P$10&lt;=$D186,$P186,0)+IF(T$10-$Q$10&lt;=$D186,$Q186,0)+IF(T$10-$R$10&lt;=$D186,$R186,0)+IF(T$10-$S$10&lt;=$D186,$S186,0),"")</f>
        <v/>
      </c>
    </row>
    <row r="242" spans="2:20">
      <c r="B242" s="50" t="str">
        <f>B187</f>
        <v>OAI 3</v>
      </c>
      <c r="C242" s="51" t="str">
        <f>IF(C187&gt;0,C187,"")</f>
        <v/>
      </c>
      <c r="D242" s="39"/>
      <c r="E242" s="14">
        <f>IF(F$8=1,IF($C187&gt;0,IF(F$10-$E$10&lt;=$D187,$E187,0),0),"")</f>
        <v>0</v>
      </c>
      <c r="F242" s="14">
        <f>IF(G$8=1,IF($C187&gt;0,IF(G$10-$E$10&lt;=$D187,$E187,0)+IF(G$10-$F$10&lt;=$D187,$F187,0),0),"")</f>
        <v>0</v>
      </c>
      <c r="G242" s="14" t="str">
        <f>IF(H$8=1,IF($C187&gt;0,IF(H$10-$E$10&lt;=$D187,$E187,0)+IF(H$10-$F$10&lt;=$D187,$F187,0)+IF(H$10-$G$10&lt;=$D187,$G187,0),0),"")</f>
        <v/>
      </c>
      <c r="H242" s="14" t="str">
        <f>IF(I$8=1,IF($C187&gt;0,IF(I$10-$E$10&lt;=$D187,$E187,0)+IF(I$10-$F$10&lt;=$D187,$F187,0)+IF(I$10-$G$10&lt;=$D187,$G187,0)+IF(I$10-$H$10&lt;=$D187,$H187,0),0),"")</f>
        <v/>
      </c>
      <c r="I242" s="14" t="str">
        <f>IF(J$8=1,IF($C187&gt;0,IF(J$10-$E$10&lt;=$D187,$E187,0)+IF(J$10-$F$10&lt;=$D187,$F187,0)+IF(J$10-$G$10&lt;=$D187,$G187,0)+IF(J$10-$H$10&lt;=$D187,$H187,0)+IF(J$10-$I$10&lt;=$D187,$I187,0),0),"")</f>
        <v/>
      </c>
      <c r="J242" s="14" t="str">
        <f>IF(K$8=1,IF($C187&gt;0,IF(K$10-$E$10&lt;=$D187,$E187,0)+IF(K$10-$F$10&lt;=$D187,$F187,0)+IF(K$10-$G$10&lt;=$D187,$G187,0)+IF(K$10-$H$10&lt;=$D187,$H187,0)+IF(K$10-$I$10&lt;=$D187,$I187,0)+IF(K$10-$J$10&lt;=$D187,$J187,0),0),"")</f>
        <v/>
      </c>
      <c r="K242" s="14" t="str">
        <f>IF(L$8=1,IF($C187&gt;0,IF(L$10-$E$10&lt;=$D187,$E187,0)+IF(L$10-$F$10&lt;=$D187,$F187,0)+IF(L$10-$G$10&lt;=$D187,$G187,0)+IF(L$10-$H$10&lt;=$D187,$H187,0)+IF(L$10-$I$10&lt;=$D187,$I187,0)+IF(L$10-$J$10&lt;=$D187,$J187,0)+IF(L$10-$K$10&lt;=$D187,$K187,0),0),"")</f>
        <v/>
      </c>
      <c r="L242" s="14" t="str">
        <f>IF(M$8=1,IF($C187&gt;0,IF(M$10-$E$10&lt;=$D187,$E187,0)+IF(M$10-$F$10&lt;=$D187,$F187,0)+IF(M$10-$G$10&lt;=$D187,$G187,0)+IF(M$10-$H$10&lt;=$D187,$H187,0)+IF(M$10-$I$10&lt;=$D187,$I187,0)+IF(M$10-$J$10&lt;=$D187,$J187,0)+IF(M$10-$K$10&lt;=$D187,$K187,0)+IF(M$10-$L$10&lt;=$D187,$L187,0),0),"")</f>
        <v/>
      </c>
      <c r="M242" s="14" t="str">
        <f>IF(N$8=1,IF($C187&gt;0,IF(N$10-$E$10&lt;=$D187,$E187,0)+IF(N$10-$F$10&lt;=$D187,$F187,0)+IF(N$10-$G$10&lt;=$D187,$G187,0)+IF(N$10-$H$10&lt;=$D187,$H187,0)+IF(N$10-$I$10&lt;=$D187,$I187,0)+IF(N$10-$J$10&lt;=$D187,$J187,0)+IF(N$10-$K$10&lt;=$D187,$K187,0)+IF(N$10-$L$10&lt;=$D187,$L187,0),0)+IF(N$10-$M$10&lt;=$D187,$M187,0),"")</f>
        <v/>
      </c>
      <c r="N242" s="14" t="str">
        <f>IF(O$8=1,IF($C187&gt;0,IF(O$10-$E$10&lt;=$D187,$E187,0)+IF(O$10-$F$10&lt;=$D187,$F187,0)+IF(O$10-$G$10&lt;=$D187,$G187,0)+IF(O$10-$H$10&lt;=$D187,$H187,0)+IF(O$10-$I$10&lt;=$D187,$I187,0)+IF(O$10-$J$10&lt;=$D187,$J187,0)+IF(O$10-$K$10&lt;=$D187,$K187,0)+IF(O$10-$L$10&lt;=$D187,$L187,0),0)+IF(O$10-$M$10&lt;=$D187,$M187,0)+IF(O$10-$N$10&lt;=$D187,$N187,0),"")</f>
        <v/>
      </c>
      <c r="O242" s="14" t="str">
        <f>IF(P$8=1,IF($C187&gt;0,IF(P$10-$E$10&lt;=$D187,$E187,0)+IF(P$10-$F$10&lt;=$D187,$F187,0)+IF(P$10-$G$10&lt;=$D187,$G187,0)+IF(P$10-$H$10&lt;=$D187,$H187,0)+IF(P$10-$I$10&lt;=$D187,$I187,0)+IF(P$10-$J$10&lt;=$D187,$J187,0)+IF(P$10-$K$10&lt;=$D187,$K187,0)+IF(P$10-$L$10&lt;=$D187,$L187,0),0)+IF(P$10-$M$10&lt;=$D187,$M187,0)+IF(P$10-$N$10&lt;=$D187,$N187,0)+IF(P$10-$O$10&lt;=$D187,$O187,0),"")</f>
        <v/>
      </c>
      <c r="P242" s="14" t="str">
        <f>IF(Q$8=1,IF($C187&gt;0,IF(Q$10-$E$10&lt;=$D187,$E187,0)+IF(Q$10-$F$10&lt;=$D187,$F187,0)+IF(Q$10-$G$10&lt;=$D187,$G187,0)+IF(Q$10-$H$10&lt;=$D187,$H187,0)+IF(Q$10-$I$10&lt;=$D187,$I187,0)+IF(Q$10-$J$10&lt;=$D187,$J187,0)+IF(Q$10-$K$10&lt;=$D187,$K187,0)+IF(Q$10-$L$10&lt;=$D187,$L187,0),0)+IF(Q$10-$M$10&lt;=$D187,$M187,0)+IF(Q$10-$N$10&lt;=$D187,$N187,0)+IF(Q$10-$O$10&lt;=$D187,$O187,0)+IF(Q$10-$P$10&lt;=$D187,$P187,0),"")</f>
        <v/>
      </c>
      <c r="Q242" s="14" t="str">
        <f>IF(R$8=1,IF($C187&gt;0,IF(R$10-$E$10&lt;=$D187,$E187,0)+IF(R$10-$F$10&lt;=$D187,$F187,0)+IF(R$10-$G$10&lt;=$D187,$G187,0)+IF(R$10-$H$10&lt;=$D187,$H187,0)+IF(R$10-$I$10&lt;=$D187,$I187,0)+IF(R$10-$J$10&lt;=$D187,$J187,0)+IF(R$10-$K$10&lt;=$D187,$K187,0)+IF(R$10-$L$10&lt;=$D187,$L187,0),0)+IF(R$10-$M$10&lt;=$D187,$M187,0)+IF(R$10-$N$10&lt;=$D187,$N187,0)+IF(R$10-$O$10&lt;=$D187,$O187,0)+IF(R$10-$P$10&lt;=$D187,$P187,0)+IF(R$10-$Q$10&lt;=$D187,$Q187,0),"")</f>
        <v/>
      </c>
      <c r="R242" s="14" t="str">
        <f>IF(S$8=1,IF($C187&gt;0,IF(S$10-$E$10&lt;=$D187,$E187,0)+IF(S$10-$F$10&lt;=$D187,$F187,0)+IF(S$10-$G$10&lt;=$D187,$G187,0)+IF(S$10-$H$10&lt;=$D187,$H187,0)+IF(S$10-$I$10&lt;=$D187,$I187,0)+IF(S$10-$J$10&lt;=$D187,$J187,0)+IF(S$10-$K$10&lt;=$D187,$K187,0)+IF(S$10-$L$10&lt;=$D187,$L187,0),0)+IF(S$10-$M$10&lt;=$D187,$M187,0)+IF(S$10-$N$10&lt;=$D187,$N187,0)+IF(S$10-$O$10&lt;=$D187,$O187,0)+IF(S$10-$P$10&lt;=$D187,$P187,0)+IF(S$10-$Q$10&lt;=$D187,$Q187,0)+IF(S$10-$R$10&lt;=$D187,$R187,0),"")</f>
        <v/>
      </c>
      <c r="S242" s="14" t="str">
        <f>IF(T$8=1,IF($C187&gt;0,IF(T$10-$E$10&lt;=$D187,$E187,0)+IF(T$10-$F$10&lt;=$D187,$F187,0)+IF(T$10-$G$10&lt;=$D187,$G187,0)+IF(T$10-$H$10&lt;=$D187,$H187,0)+IF(T$10-$I$10&lt;=$D187,$I187,0)+IF(T$10-$J$10&lt;=$D187,$J187,0)+IF(T$10-$K$10&lt;=$D187,$K187,0)+IF(T$10-$L$10&lt;=$D187,$L187,0),0)+IF(T$10-$M$10&lt;=$D187,$M187,0)+IF(T$10-$N$10&lt;=$D187,$N187,0)+IF(T$10-$O$10&lt;=$D187,$O187,0)+IF(T$10-$P$10&lt;=$D187,$P187,0)+IF(T$10-$Q$10&lt;=$D187,$Q187,0)+IF(T$10-$R$10&lt;=$D187,$R187,0)+IF(T$10-$S$10&lt;=$D187,$S187,0),"")</f>
        <v/>
      </c>
    </row>
    <row r="243" spans="2:20">
      <c r="B243" s="50" t="str">
        <f>B188</f>
        <v>OAI 4</v>
      </c>
      <c r="C243" s="51" t="str">
        <f>IF(C188&gt;0,C188,"")</f>
        <v/>
      </c>
      <c r="D243" s="39"/>
      <c r="E243" s="14">
        <f>IF(F$8=1,IF($C188&gt;0,IF(F$10-$E$10&lt;=$D188,$E188,0),0),"")</f>
        <v>0</v>
      </c>
      <c r="F243" s="14">
        <f>IF(G$8=1,IF($C188&gt;0,IF(G$10-$E$10&lt;=$D188,$E188,0)+IF(G$10-$F$10&lt;=$D188,$F188,0),0),"")</f>
        <v>0</v>
      </c>
      <c r="G243" s="14" t="str">
        <f>IF(H$8=1,IF($C188&gt;0,IF(H$10-$E$10&lt;=$D188,$E188,0)+IF(H$10-$F$10&lt;=$D188,$F188,0)+IF(H$10-$G$10&lt;=$D188,$G188,0),0),"")</f>
        <v/>
      </c>
      <c r="H243" s="14" t="str">
        <f>IF(I$8=1,IF($C188&gt;0,IF(I$10-$E$10&lt;=$D188,$E188,0)+IF(I$10-$F$10&lt;=$D188,$F188,0)+IF(I$10-$G$10&lt;=$D188,$G188,0)+IF(I$10-$H$10&lt;=$D188,$H188,0),0),"")</f>
        <v/>
      </c>
      <c r="I243" s="14" t="str">
        <f>IF(J$8=1,IF($C188&gt;0,IF(J$10-$E$10&lt;=$D188,$E188,0)+IF(J$10-$F$10&lt;=$D188,$F188,0)+IF(J$10-$G$10&lt;=$D188,$G188,0)+IF(J$10-$H$10&lt;=$D188,$H188,0)+IF(J$10-$I$10&lt;=$D188,$I188,0),0),"")</f>
        <v/>
      </c>
      <c r="J243" s="14" t="str">
        <f>IF(K$8=1,IF($C188&gt;0,IF(K$10-$E$10&lt;=$D188,$E188,0)+IF(K$10-$F$10&lt;=$D188,$F188,0)+IF(K$10-$G$10&lt;=$D188,$G188,0)+IF(K$10-$H$10&lt;=$D188,$H188,0)+IF(K$10-$I$10&lt;=$D188,$I188,0)+IF(K$10-$J$10&lt;=$D188,$J188,0),0),"")</f>
        <v/>
      </c>
      <c r="K243" s="14" t="str">
        <f>IF(L$8=1,IF($C188&gt;0,IF(L$10-$E$10&lt;=$D188,$E188,0)+IF(L$10-$F$10&lt;=$D188,$F188,0)+IF(L$10-$G$10&lt;=$D188,$G188,0)+IF(L$10-$H$10&lt;=$D188,$H188,0)+IF(L$10-$I$10&lt;=$D188,$I188,0)+IF(L$10-$J$10&lt;=$D188,$J188,0)+IF(L$10-$K$10&lt;=$D188,$K188,0),0),"")</f>
        <v/>
      </c>
      <c r="L243" s="14" t="str">
        <f>IF(M$8=1,IF($C188&gt;0,IF(M$10-$E$10&lt;=$D188,$E188,0)+IF(M$10-$F$10&lt;=$D188,$F188,0)+IF(M$10-$G$10&lt;=$D188,$G188,0)+IF(M$10-$H$10&lt;=$D188,$H188,0)+IF(M$10-$I$10&lt;=$D188,$I188,0)+IF(M$10-$J$10&lt;=$D188,$J188,0)+IF(M$10-$K$10&lt;=$D188,$K188,0)+IF(M$10-$L$10&lt;=$D188,$L188,0),0),"")</f>
        <v/>
      </c>
      <c r="M243" s="14" t="str">
        <f>IF(N$8=1,IF($C188&gt;0,IF(N$10-$E$10&lt;=$D188,$E188,0)+IF(N$10-$F$10&lt;=$D188,$F188,0)+IF(N$10-$G$10&lt;=$D188,$G188,0)+IF(N$10-$H$10&lt;=$D188,$H188,0)+IF(N$10-$I$10&lt;=$D188,$I188,0)+IF(N$10-$J$10&lt;=$D188,$J188,0)+IF(N$10-$K$10&lt;=$D188,$K188,0)+IF(N$10-$L$10&lt;=$D188,$L188,0),0)+IF(N$10-$M$10&lt;=$D188,$M188,0),"")</f>
        <v/>
      </c>
      <c r="N243" s="14" t="str">
        <f>IF(O$8=1,IF($C188&gt;0,IF(O$10-$E$10&lt;=$D188,$E188,0)+IF(O$10-$F$10&lt;=$D188,$F188,0)+IF(O$10-$G$10&lt;=$D188,$G188,0)+IF(O$10-$H$10&lt;=$D188,$H188,0)+IF(O$10-$I$10&lt;=$D188,$I188,0)+IF(O$10-$J$10&lt;=$D188,$J188,0)+IF(O$10-$K$10&lt;=$D188,$K188,0)+IF(O$10-$L$10&lt;=$D188,$L188,0),0)+IF(O$10-$M$10&lt;=$D188,$M188,0)+IF(O$10-$N$10&lt;=$D188,$N188,0),"")</f>
        <v/>
      </c>
      <c r="O243" s="14" t="str">
        <f>IF(P$8=1,IF($C188&gt;0,IF(P$10-$E$10&lt;=$D188,$E188,0)+IF(P$10-$F$10&lt;=$D188,$F188,0)+IF(P$10-$G$10&lt;=$D188,$G188,0)+IF(P$10-$H$10&lt;=$D188,$H188,0)+IF(P$10-$I$10&lt;=$D188,$I188,0)+IF(P$10-$J$10&lt;=$D188,$J188,0)+IF(P$10-$K$10&lt;=$D188,$K188,0)+IF(P$10-$L$10&lt;=$D188,$L188,0),0)+IF(P$10-$M$10&lt;=$D188,$M188,0)+IF(P$10-$N$10&lt;=$D188,$N188,0)+IF(P$10-$O$10&lt;=$D188,$O188,0),"")</f>
        <v/>
      </c>
      <c r="P243" s="14" t="str">
        <f>IF(Q$8=1,IF($C188&gt;0,IF(Q$10-$E$10&lt;=$D188,$E188,0)+IF(Q$10-$F$10&lt;=$D188,$F188,0)+IF(Q$10-$G$10&lt;=$D188,$G188,0)+IF(Q$10-$H$10&lt;=$D188,$H188,0)+IF(Q$10-$I$10&lt;=$D188,$I188,0)+IF(Q$10-$J$10&lt;=$D188,$J188,0)+IF(Q$10-$K$10&lt;=$D188,$K188,0)+IF(Q$10-$L$10&lt;=$D188,$L188,0),0)+IF(Q$10-$M$10&lt;=$D188,$M188,0)+IF(Q$10-$N$10&lt;=$D188,$N188,0)+IF(Q$10-$O$10&lt;=$D188,$O188,0)+IF(Q$10-$P$10&lt;=$D188,$P188,0),"")</f>
        <v/>
      </c>
      <c r="Q243" s="14" t="str">
        <f>IF(R$8=1,IF($C188&gt;0,IF(R$10-$E$10&lt;=$D188,$E188,0)+IF(R$10-$F$10&lt;=$D188,$F188,0)+IF(R$10-$G$10&lt;=$D188,$G188,0)+IF(R$10-$H$10&lt;=$D188,$H188,0)+IF(R$10-$I$10&lt;=$D188,$I188,0)+IF(R$10-$J$10&lt;=$D188,$J188,0)+IF(R$10-$K$10&lt;=$D188,$K188,0)+IF(R$10-$L$10&lt;=$D188,$L188,0),0)+IF(R$10-$M$10&lt;=$D188,$M188,0)+IF(R$10-$N$10&lt;=$D188,$N188,0)+IF(R$10-$O$10&lt;=$D188,$O188,0)+IF(R$10-$P$10&lt;=$D188,$P188,0)+IF(R$10-$Q$10&lt;=$D188,$Q188,0),"")</f>
        <v/>
      </c>
      <c r="R243" s="14" t="str">
        <f>IF(S$8=1,IF($C188&gt;0,IF(S$10-$E$10&lt;=$D188,$E188,0)+IF(S$10-$F$10&lt;=$D188,$F188,0)+IF(S$10-$G$10&lt;=$D188,$G188,0)+IF(S$10-$H$10&lt;=$D188,$H188,0)+IF(S$10-$I$10&lt;=$D188,$I188,0)+IF(S$10-$J$10&lt;=$D188,$J188,0)+IF(S$10-$K$10&lt;=$D188,$K188,0)+IF(S$10-$L$10&lt;=$D188,$L188,0),0)+IF(S$10-$M$10&lt;=$D188,$M188,0)+IF(S$10-$N$10&lt;=$D188,$N188,0)+IF(S$10-$O$10&lt;=$D188,$O188,0)+IF(S$10-$P$10&lt;=$D188,$P188,0)+IF(S$10-$Q$10&lt;=$D188,$Q188,0)+IF(S$10-$R$10&lt;=$D188,$R188,0),"")</f>
        <v/>
      </c>
      <c r="S243" s="14" t="str">
        <f>IF(T$8=1,IF($C188&gt;0,IF(T$10-$E$10&lt;=$D188,$E188,0)+IF(T$10-$F$10&lt;=$D188,$F188,0)+IF(T$10-$G$10&lt;=$D188,$G188,0)+IF(T$10-$H$10&lt;=$D188,$H188,0)+IF(T$10-$I$10&lt;=$D188,$I188,0)+IF(T$10-$J$10&lt;=$D188,$J188,0)+IF(T$10-$K$10&lt;=$D188,$K188,0)+IF(T$10-$L$10&lt;=$D188,$L188,0),0)+IF(T$10-$M$10&lt;=$D188,$M188,0)+IF(T$10-$N$10&lt;=$D188,$N188,0)+IF(T$10-$O$10&lt;=$D188,$O188,0)+IF(T$10-$P$10&lt;=$D188,$P188,0)+IF(T$10-$Q$10&lt;=$D188,$Q188,0)+IF(T$10-$R$10&lt;=$D188,$R188,0)+IF(T$10-$S$10&lt;=$D188,$S188,0),"")</f>
        <v/>
      </c>
    </row>
    <row r="244" spans="2:20">
      <c r="C244" s="39"/>
      <c r="D244" s="39"/>
      <c r="E244" s="39"/>
    </row>
    <row r="245" spans="2:20">
      <c r="B245" s="16" t="s">
        <v>151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spans="2:20">
      <c r="E246" s="39"/>
    </row>
    <row r="247" spans="2:20">
      <c r="E247" s="19">
        <f>IF(F$8=1,F$4-1,"")</f>
        <v>2023</v>
      </c>
      <c r="F247" s="19">
        <f>IF(F$8=1,F$4,"")</f>
        <v>2024</v>
      </c>
      <c r="G247" s="19">
        <f t="shared" ref="G247:T247" si="57">IF(G$8=1,F247+1,"")</f>
        <v>2025</v>
      </c>
      <c r="H247" s="19" t="str">
        <f t="shared" si="57"/>
        <v/>
      </c>
      <c r="I247" s="19" t="str">
        <f t="shared" si="57"/>
        <v/>
      </c>
      <c r="J247" s="19" t="str">
        <f t="shared" si="57"/>
        <v/>
      </c>
      <c r="K247" s="19" t="str">
        <f t="shared" si="57"/>
        <v/>
      </c>
      <c r="L247" s="19" t="str">
        <f t="shared" si="57"/>
        <v/>
      </c>
      <c r="M247" s="19" t="str">
        <f t="shared" si="57"/>
        <v/>
      </c>
      <c r="N247" s="19" t="str">
        <f t="shared" si="57"/>
        <v/>
      </c>
      <c r="O247" s="19" t="str">
        <f t="shared" si="57"/>
        <v/>
      </c>
      <c r="P247" s="19" t="str">
        <f t="shared" si="57"/>
        <v/>
      </c>
      <c r="Q247" s="19" t="str">
        <f t="shared" si="57"/>
        <v/>
      </c>
      <c r="R247" s="19" t="str">
        <f t="shared" si="57"/>
        <v/>
      </c>
      <c r="S247" s="19" t="str">
        <f t="shared" si="57"/>
        <v/>
      </c>
      <c r="T247" s="19" t="str">
        <f t="shared" si="57"/>
        <v/>
      </c>
    </row>
    <row r="248" spans="2:20">
      <c r="B248" s="10" t="s">
        <v>289</v>
      </c>
      <c r="E248" s="39"/>
    </row>
    <row r="249" spans="2:20">
      <c r="B249" s="46" t="s">
        <v>290</v>
      </c>
      <c r="E249" s="14">
        <f>IF(F$8=1,+D249+E167,"")</f>
        <v>412000</v>
      </c>
      <c r="F249" s="14">
        <f>IF(F$8=1,+E249+F167,"")</f>
        <v>522000</v>
      </c>
      <c r="G249" s="14">
        <f>IF(G$8=1,+F249+G167,"")</f>
        <v>542000</v>
      </c>
      <c r="H249" s="14" t="str">
        <f t="shared" ref="F249:T249" si="58">IF(H$8=1,+G249+H167,"")</f>
        <v/>
      </c>
      <c r="I249" s="14" t="str">
        <f t="shared" si="58"/>
        <v/>
      </c>
      <c r="J249" s="14" t="str">
        <f t="shared" si="58"/>
        <v/>
      </c>
      <c r="K249" s="14" t="str">
        <f t="shared" si="58"/>
        <v/>
      </c>
      <c r="L249" s="14" t="str">
        <f t="shared" si="58"/>
        <v/>
      </c>
      <c r="M249" s="14" t="str">
        <f t="shared" si="58"/>
        <v/>
      </c>
      <c r="N249" s="14" t="str">
        <f t="shared" si="58"/>
        <v/>
      </c>
      <c r="O249" s="14" t="str">
        <f t="shared" si="58"/>
        <v/>
      </c>
      <c r="P249" s="14" t="str">
        <f t="shared" si="58"/>
        <v/>
      </c>
      <c r="Q249" s="14" t="str">
        <f t="shared" si="58"/>
        <v/>
      </c>
      <c r="R249" s="14" t="str">
        <f t="shared" si="58"/>
        <v/>
      </c>
      <c r="S249" s="14" t="str">
        <f t="shared" si="58"/>
        <v/>
      </c>
      <c r="T249" s="14" t="str">
        <f t="shared" si="58"/>
        <v/>
      </c>
    </row>
    <row r="250" spans="2:20">
      <c r="B250" s="46" t="s">
        <v>291</v>
      </c>
      <c r="E250" s="14">
        <f>IF(F$8=1,+D250+E189,"")</f>
        <v>12000</v>
      </c>
      <c r="F250" s="14">
        <f t="shared" ref="F250:T250" si="59">IF(F$8=1,+E250+F189,"")</f>
        <v>12000</v>
      </c>
      <c r="G250" s="14">
        <f t="shared" si="59"/>
        <v>14000</v>
      </c>
      <c r="H250" s="14" t="str">
        <f t="shared" si="59"/>
        <v/>
      </c>
      <c r="I250" s="14" t="str">
        <f t="shared" si="59"/>
        <v/>
      </c>
      <c r="J250" s="14" t="str">
        <f t="shared" si="59"/>
        <v/>
      </c>
      <c r="K250" s="14" t="str">
        <f t="shared" si="59"/>
        <v/>
      </c>
      <c r="L250" s="14" t="str">
        <f t="shared" si="59"/>
        <v/>
      </c>
      <c r="M250" s="14" t="str">
        <f t="shared" si="59"/>
        <v/>
      </c>
      <c r="N250" s="14" t="str">
        <f t="shared" si="59"/>
        <v/>
      </c>
      <c r="O250" s="14" t="str">
        <f t="shared" si="59"/>
        <v/>
      </c>
      <c r="P250" s="14" t="str">
        <f t="shared" si="59"/>
        <v/>
      </c>
      <c r="Q250" s="14" t="str">
        <f t="shared" si="59"/>
        <v/>
      </c>
      <c r="R250" s="14" t="str">
        <f t="shared" si="59"/>
        <v/>
      </c>
      <c r="S250" s="14" t="str">
        <f t="shared" si="59"/>
        <v/>
      </c>
      <c r="T250" s="14" t="str">
        <f t="shared" si="59"/>
        <v/>
      </c>
    </row>
    <row r="251" spans="2:20">
      <c r="B251" s="10" t="s">
        <v>147</v>
      </c>
      <c r="D251" s="35"/>
      <c r="E251" s="19"/>
    </row>
    <row r="252" spans="2:20">
      <c r="B252" s="46" t="s">
        <v>148</v>
      </c>
      <c r="D252" s="39"/>
      <c r="E252" s="14"/>
      <c r="F252" s="14">
        <f>IF(F$8=1,SUMPRODUCT($C198:$C201,E198:E201)+SUMPRODUCT($C203:$C206,E203:E206)+SUMPRODUCT($C208:$C211,E208:E211)+SUMPRODUCT($C213:$C216,E213:E216)+SUMPRODUCT($C218:$C221,E218:E221),"")</f>
        <v>32500</v>
      </c>
      <c r="G252" s="14">
        <f t="shared" ref="F252:T252" si="60">IF(G$8=1,SUMPRODUCT($C198:$C201,F198:F201)+SUMPRODUCT($C203:$C206,F203:F206)+SUMPRODUCT($C208:$C211,F208:F211)+SUMPRODUCT($C213:$C216,F213:F216)+SUMPRODUCT($C218:$C221,F218:F221),"")</f>
        <v>37000</v>
      </c>
      <c r="H252" s="14" t="str">
        <f t="shared" si="60"/>
        <v/>
      </c>
      <c r="I252" s="14" t="str">
        <f t="shared" si="60"/>
        <v/>
      </c>
      <c r="J252" s="14" t="str">
        <f t="shared" si="60"/>
        <v/>
      </c>
      <c r="K252" s="14" t="str">
        <f t="shared" si="60"/>
        <v/>
      </c>
      <c r="L252" s="14" t="str">
        <f t="shared" si="60"/>
        <v/>
      </c>
      <c r="M252" s="14" t="str">
        <f t="shared" si="60"/>
        <v/>
      </c>
      <c r="N252" s="14" t="str">
        <f t="shared" si="60"/>
        <v/>
      </c>
      <c r="O252" s="14" t="str">
        <f t="shared" si="60"/>
        <v/>
      </c>
      <c r="P252" s="14" t="str">
        <f t="shared" si="60"/>
        <v/>
      </c>
      <c r="Q252" s="14" t="str">
        <f t="shared" si="60"/>
        <v/>
      </c>
      <c r="R252" s="14" t="str">
        <f t="shared" si="60"/>
        <v/>
      </c>
      <c r="S252" s="14" t="str">
        <f t="shared" si="60"/>
        <v/>
      </c>
      <c r="T252" s="14" t="str">
        <f t="shared" si="60"/>
        <v/>
      </c>
    </row>
    <row r="253" spans="2:20">
      <c r="B253" s="46" t="s">
        <v>149</v>
      </c>
      <c r="E253" s="39"/>
      <c r="F253" s="14">
        <f>IF(F$8=1,SUMPRODUCT($C225:$C228,E225:E228)+SUMPRODUCT($C230:$C233,E230:E233)+SUMPRODUCT($C235:$C238,E235:E238)+SUMPRODUCT($C240:$C243,E240:E243),"")</f>
        <v>1200</v>
      </c>
      <c r="G253" s="14">
        <f t="shared" ref="F253:T253" si="61">IF(G$8=1,SUMPRODUCT($C225:$C228,F225:F228)+SUMPRODUCT($C230:$C233,F230:F233)+SUMPRODUCT($C235:$C238,F235:F238)+SUMPRODUCT($C240:$C243,F240:F243),"")</f>
        <v>1200</v>
      </c>
      <c r="H253" s="14" t="str">
        <f t="shared" si="61"/>
        <v/>
      </c>
      <c r="I253" s="14" t="str">
        <f t="shared" si="61"/>
        <v/>
      </c>
      <c r="J253" s="14" t="str">
        <f t="shared" si="61"/>
        <v/>
      </c>
      <c r="K253" s="14" t="str">
        <f t="shared" si="61"/>
        <v/>
      </c>
      <c r="L253" s="14" t="str">
        <f t="shared" si="61"/>
        <v/>
      </c>
      <c r="M253" s="14" t="str">
        <f t="shared" si="61"/>
        <v/>
      </c>
      <c r="N253" s="14" t="str">
        <f t="shared" si="61"/>
        <v/>
      </c>
      <c r="O253" s="14" t="str">
        <f t="shared" si="61"/>
        <v/>
      </c>
      <c r="P253" s="14" t="str">
        <f t="shared" si="61"/>
        <v/>
      </c>
      <c r="Q253" s="14" t="str">
        <f t="shared" si="61"/>
        <v/>
      </c>
      <c r="R253" s="14" t="str">
        <f t="shared" si="61"/>
        <v/>
      </c>
      <c r="S253" s="14" t="str">
        <f t="shared" si="61"/>
        <v/>
      </c>
      <c r="T253" s="14" t="str">
        <f t="shared" si="61"/>
        <v/>
      </c>
    </row>
    <row r="254" spans="2:20">
      <c r="B254" s="10" t="s">
        <v>287</v>
      </c>
      <c r="E254" s="39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</row>
    <row r="255" spans="2:20">
      <c r="B255" s="46" t="s">
        <v>286</v>
      </c>
      <c r="E255" s="39"/>
      <c r="F255" s="14">
        <f>IF(F$8=1,E255+F252,"")</f>
        <v>32500</v>
      </c>
      <c r="G255" s="14">
        <f t="shared" ref="F255:T255" si="62">IF(G$8=1,F255+G252,"")</f>
        <v>69500</v>
      </c>
      <c r="H255" s="14" t="str">
        <f t="shared" si="62"/>
        <v/>
      </c>
      <c r="I255" s="14" t="str">
        <f t="shared" si="62"/>
        <v/>
      </c>
      <c r="J255" s="14" t="str">
        <f t="shared" si="62"/>
        <v/>
      </c>
      <c r="K255" s="14" t="str">
        <f t="shared" si="62"/>
        <v/>
      </c>
      <c r="L255" s="14" t="str">
        <f t="shared" si="62"/>
        <v/>
      </c>
      <c r="M255" s="14" t="str">
        <f t="shared" si="62"/>
        <v/>
      </c>
      <c r="N255" s="14" t="str">
        <f t="shared" si="62"/>
        <v/>
      </c>
      <c r="O255" s="14" t="str">
        <f t="shared" si="62"/>
        <v/>
      </c>
      <c r="P255" s="14" t="str">
        <f t="shared" si="62"/>
        <v/>
      </c>
      <c r="Q255" s="14" t="str">
        <f t="shared" si="62"/>
        <v/>
      </c>
      <c r="R255" s="14" t="str">
        <f t="shared" si="62"/>
        <v/>
      </c>
      <c r="S255" s="14" t="str">
        <f t="shared" si="62"/>
        <v/>
      </c>
      <c r="T255" s="14" t="str">
        <f t="shared" si="62"/>
        <v/>
      </c>
    </row>
    <row r="256" spans="2:20">
      <c r="B256" s="46" t="s">
        <v>288</v>
      </c>
      <c r="E256" s="39"/>
      <c r="F256" s="14">
        <f t="shared" ref="F256:T256" si="63">IF(F$8=1,E256+F253,"")</f>
        <v>1200</v>
      </c>
      <c r="G256" s="14">
        <f t="shared" si="63"/>
        <v>2400</v>
      </c>
      <c r="H256" s="14" t="str">
        <f t="shared" si="63"/>
        <v/>
      </c>
      <c r="I256" s="14" t="str">
        <f t="shared" si="63"/>
        <v/>
      </c>
      <c r="J256" s="14" t="str">
        <f t="shared" si="63"/>
        <v/>
      </c>
      <c r="K256" s="14" t="str">
        <f t="shared" si="63"/>
        <v/>
      </c>
      <c r="L256" s="14" t="str">
        <f t="shared" si="63"/>
        <v/>
      </c>
      <c r="M256" s="14" t="str">
        <f t="shared" si="63"/>
        <v/>
      </c>
      <c r="N256" s="14" t="str">
        <f t="shared" si="63"/>
        <v/>
      </c>
      <c r="O256" s="14" t="str">
        <f t="shared" si="63"/>
        <v/>
      </c>
      <c r="P256" s="14" t="str">
        <f t="shared" si="63"/>
        <v/>
      </c>
      <c r="Q256" s="14" t="str">
        <f t="shared" si="63"/>
        <v/>
      </c>
      <c r="R256" s="14" t="str">
        <f t="shared" si="63"/>
        <v/>
      </c>
      <c r="S256" s="14" t="str">
        <f t="shared" si="63"/>
        <v/>
      </c>
      <c r="T256" s="14" t="str">
        <f t="shared" si="63"/>
        <v/>
      </c>
    </row>
    <row r="257" spans="2:21">
      <c r="B257" s="46"/>
      <c r="E257" s="39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 spans="2:21">
      <c r="F258" s="39"/>
    </row>
    <row r="259" spans="2:21">
      <c r="B259" s="16" t="s">
        <v>337</v>
      </c>
      <c r="C259" s="1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1" spans="2:21">
      <c r="B261" s="19" t="s">
        <v>153</v>
      </c>
      <c r="C261" s="19"/>
      <c r="E261" s="38" t="s">
        <v>35</v>
      </c>
      <c r="F261" s="129" t="s">
        <v>88</v>
      </c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</row>
    <row r="262" spans="2:21">
      <c r="B262" s="9" t="s">
        <v>152</v>
      </c>
      <c r="C262" s="9"/>
      <c r="E262" s="12">
        <v>0.6</v>
      </c>
      <c r="F262" s="130">
        <f>E262*$E$191</f>
        <v>260400</v>
      </c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</row>
    <row r="263" spans="2:21">
      <c r="B263" s="4" t="s">
        <v>154</v>
      </c>
      <c r="E263" s="39">
        <f>1-E262</f>
        <v>0.4</v>
      </c>
      <c r="F263" s="144">
        <f>E263*$E$191</f>
        <v>173600</v>
      </c>
    </row>
    <row r="265" spans="2:21">
      <c r="B265" s="4" t="s">
        <v>173</v>
      </c>
      <c r="E265" s="11">
        <v>0.12</v>
      </c>
    </row>
    <row r="266" spans="2:21">
      <c r="B266" s="4" t="s">
        <v>174</v>
      </c>
      <c r="E266" s="11">
        <v>0.05</v>
      </c>
    </row>
    <row r="267" spans="2:21">
      <c r="B267" s="4" t="s">
        <v>175</v>
      </c>
    </row>
    <row r="268" spans="2:21">
      <c r="B268" s="6" t="s">
        <v>176</v>
      </c>
      <c r="C268" s="6"/>
      <c r="E268" s="11">
        <v>5.0000000000000001E-3</v>
      </c>
    </row>
    <row r="269" spans="2:21">
      <c r="B269" s="6" t="s">
        <v>177</v>
      </c>
      <c r="C269" s="6"/>
      <c r="E269" s="11">
        <v>0.04</v>
      </c>
    </row>
    <row r="271" spans="2:21">
      <c r="B271" s="16" t="s">
        <v>308</v>
      </c>
      <c r="C271" s="1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3" spans="2:6">
      <c r="B273" s="9" t="s">
        <v>309</v>
      </c>
      <c r="C273" s="9"/>
      <c r="E273" s="12">
        <v>0.02</v>
      </c>
      <c r="F273" s="41"/>
    </row>
  </sheetData>
  <mergeCells count="14">
    <mergeCell ref="A175:A178"/>
    <mergeCell ref="A180:A183"/>
    <mergeCell ref="A185:A188"/>
    <mergeCell ref="A85:A90"/>
    <mergeCell ref="A148:A151"/>
    <mergeCell ref="A153:A156"/>
    <mergeCell ref="A158:A161"/>
    <mergeCell ref="A163:A166"/>
    <mergeCell ref="A170:A173"/>
    <mergeCell ref="A19:A26"/>
    <mergeCell ref="A29:A36"/>
    <mergeCell ref="A39:A44"/>
    <mergeCell ref="A138:A141"/>
    <mergeCell ref="A143:A146"/>
  </mergeCells>
  <phoneticPr fontId="9" type="noConversion"/>
  <pageMargins left="0.7" right="0.7" top="0.75" bottom="0.75" header="0.3" footer="0.3"/>
  <pageSetup paperSize="9" orientation="portrait" r:id="rId1"/>
  <ignoredErrors>
    <ignoredError sqref="F13:T13 F250 G89:J89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2568-6E0E-48E1-81EF-1624AA7A933D}">
  <dimension ref="B3:Z14"/>
  <sheetViews>
    <sheetView zoomScale="85" zoomScaleNormal="85" workbookViewId="0">
      <selection activeCell="F13" sqref="F13:Z13"/>
    </sheetView>
  </sheetViews>
  <sheetFormatPr defaultRowHeight="14.4"/>
  <cols>
    <col min="4" max="4" width="11.5546875" bestFit="1" customWidth="1"/>
    <col min="5" max="5" width="15.6640625" bestFit="1" customWidth="1"/>
    <col min="6" max="7" width="11.21875" customWidth="1"/>
    <col min="8" max="8" width="15.44140625" customWidth="1"/>
    <col min="9" max="9" width="13" customWidth="1"/>
  </cols>
  <sheetData>
    <row r="3" spans="2:26">
      <c r="C3" t="s">
        <v>15</v>
      </c>
      <c r="I3" t="s">
        <v>341</v>
      </c>
    </row>
    <row r="4" spans="2:26">
      <c r="C4" t="s">
        <v>346</v>
      </c>
      <c r="I4" t="s">
        <v>348</v>
      </c>
    </row>
    <row r="5" spans="2:26">
      <c r="C5" t="s">
        <v>347</v>
      </c>
      <c r="I5" t="s">
        <v>94</v>
      </c>
    </row>
    <row r="6" spans="2:26">
      <c r="C6" t="s">
        <v>338</v>
      </c>
      <c r="I6" s="135">
        <v>10000</v>
      </c>
    </row>
    <row r="7" spans="2:26">
      <c r="C7" t="s">
        <v>123</v>
      </c>
      <c r="I7">
        <v>5</v>
      </c>
    </row>
    <row r="8" spans="2:26">
      <c r="C8" t="s">
        <v>339</v>
      </c>
      <c r="I8">
        <v>2023</v>
      </c>
    </row>
    <row r="9" spans="2:26">
      <c r="I9" s="138" t="s">
        <v>148</v>
      </c>
      <c r="J9" s="138"/>
      <c r="K9" s="138"/>
      <c r="L9" s="138"/>
      <c r="M9" s="138"/>
      <c r="N9" s="138"/>
      <c r="O9" s="138" t="s">
        <v>350</v>
      </c>
      <c r="P9" s="138"/>
      <c r="Q9" s="138"/>
      <c r="R9" s="138"/>
      <c r="S9" s="138"/>
      <c r="T9" s="138"/>
      <c r="U9" s="138" t="s">
        <v>351</v>
      </c>
      <c r="V9" s="138"/>
      <c r="W9" s="138"/>
      <c r="X9" s="138"/>
      <c r="Y9" s="138"/>
      <c r="Z9" s="138"/>
    </row>
    <row r="10" spans="2:26">
      <c r="B10" s="136" t="s">
        <v>340</v>
      </c>
      <c r="C10" s="136" t="s">
        <v>15</v>
      </c>
      <c r="D10" t="s">
        <v>346</v>
      </c>
      <c r="E10" t="s">
        <v>347</v>
      </c>
      <c r="F10" s="136" t="s">
        <v>342</v>
      </c>
      <c r="G10" s="136" t="s">
        <v>123</v>
      </c>
      <c r="H10" s="136" t="s">
        <v>339</v>
      </c>
      <c r="I10" s="141">
        <v>2024</v>
      </c>
      <c r="J10" s="141">
        <v>2025</v>
      </c>
      <c r="K10" s="141">
        <v>2026</v>
      </c>
      <c r="L10" s="141">
        <v>2027</v>
      </c>
      <c r="M10" s="141">
        <v>2028</v>
      </c>
      <c r="N10" s="141">
        <v>2029</v>
      </c>
      <c r="O10">
        <f>I10</f>
        <v>2024</v>
      </c>
      <c r="P10">
        <f t="shared" ref="P10:T10" si="0">J10</f>
        <v>2025</v>
      </c>
      <c r="Q10">
        <f t="shared" si="0"/>
        <v>2026</v>
      </c>
      <c r="R10">
        <f t="shared" si="0"/>
        <v>2027</v>
      </c>
      <c r="S10">
        <f t="shared" si="0"/>
        <v>2028</v>
      </c>
      <c r="T10">
        <f t="shared" si="0"/>
        <v>2029</v>
      </c>
      <c r="U10">
        <f t="shared" ref="U10" si="1">O10</f>
        <v>2024</v>
      </c>
      <c r="V10">
        <f t="shared" ref="V10" si="2">P10</f>
        <v>2025</v>
      </c>
      <c r="W10">
        <f t="shared" ref="W10" si="3">Q10</f>
        <v>2026</v>
      </c>
      <c r="X10">
        <f t="shared" ref="X10" si="4">R10</f>
        <v>2027</v>
      </c>
      <c r="Y10">
        <f t="shared" ref="Y10" si="5">S10</f>
        <v>2028</v>
      </c>
      <c r="Z10">
        <f t="shared" ref="Z10" si="6">T10</f>
        <v>2029</v>
      </c>
    </row>
    <row r="11" spans="2:26">
      <c r="B11" s="136">
        <v>1</v>
      </c>
      <c r="C11" s="136" t="s">
        <v>341</v>
      </c>
      <c r="D11" s="136" t="s">
        <v>343</v>
      </c>
      <c r="E11" s="136" t="str">
        <f>I4</f>
        <v>Ativo fixo tangível</v>
      </c>
      <c r="F11" s="136">
        <v>10000</v>
      </c>
      <c r="G11" s="136">
        <v>5</v>
      </c>
      <c r="H11" s="136">
        <v>2023</v>
      </c>
      <c r="I11" s="142">
        <f>IF(AND(I$10&gt;$H11,I$10-$H11&lt;$G11+1)=TRUE,$F11/$G11)</f>
        <v>2000</v>
      </c>
      <c r="J11" s="142">
        <f t="shared" ref="J11:N12" si="7">IF(AND(J$10&gt;$H11,J$10-$H11&lt;$G11+1)=TRUE,$F11/$G11)</f>
        <v>2000</v>
      </c>
      <c r="K11" s="142">
        <f t="shared" si="7"/>
        <v>2000</v>
      </c>
      <c r="L11" s="142">
        <f t="shared" si="7"/>
        <v>2000</v>
      </c>
      <c r="M11" s="142">
        <f t="shared" si="7"/>
        <v>2000</v>
      </c>
      <c r="N11" s="142" t="b">
        <f t="shared" si="7"/>
        <v>0</v>
      </c>
      <c r="O11" s="136">
        <f>IF(I11=FALSE,0,I11)</f>
        <v>2000</v>
      </c>
      <c r="P11" s="136">
        <f>O11+IF(J11=FALSE,0,J11)</f>
        <v>4000</v>
      </c>
      <c r="Q11" s="136">
        <f t="shared" ref="Q11:T11" si="8">P11+IF(K11=FALSE,0,K11)</f>
        <v>6000</v>
      </c>
      <c r="R11" s="136">
        <f t="shared" si="8"/>
        <v>8000</v>
      </c>
      <c r="S11" s="136">
        <f t="shared" si="8"/>
        <v>10000</v>
      </c>
      <c r="T11" s="136">
        <f t="shared" si="8"/>
        <v>10000</v>
      </c>
      <c r="U11" s="136">
        <f>IF(I11=FALSE,0,$F11-O11)</f>
        <v>8000</v>
      </c>
      <c r="V11" s="136">
        <f t="shared" ref="V11:Z14" si="9">IF(J11=FALSE,0,$F11-P11)</f>
        <v>6000</v>
      </c>
      <c r="W11" s="136">
        <f t="shared" si="9"/>
        <v>4000</v>
      </c>
      <c r="X11" s="136">
        <f t="shared" si="9"/>
        <v>2000</v>
      </c>
      <c r="Y11" s="136">
        <f t="shared" si="9"/>
        <v>0</v>
      </c>
      <c r="Z11" s="136">
        <f t="shared" si="9"/>
        <v>0</v>
      </c>
    </row>
    <row r="12" spans="2:26">
      <c r="B12" s="136">
        <v>2</v>
      </c>
      <c r="C12" s="136" t="s">
        <v>344</v>
      </c>
      <c r="D12" s="136" t="s">
        <v>345</v>
      </c>
      <c r="E12" s="136" t="s">
        <v>349</v>
      </c>
      <c r="F12" s="136">
        <v>30000</v>
      </c>
      <c r="G12" s="136">
        <v>3</v>
      </c>
      <c r="H12" s="136">
        <v>2025</v>
      </c>
      <c r="I12" s="142" t="b">
        <f t="shared" ref="I12:N14" si="10">IF(AND(I$10&gt;$H12,I$10-$H12&lt;$G12+1)=TRUE,$F12/$G12)</f>
        <v>0</v>
      </c>
      <c r="J12" s="142" t="b">
        <f t="shared" si="7"/>
        <v>0</v>
      </c>
      <c r="K12" s="142">
        <f t="shared" si="7"/>
        <v>10000</v>
      </c>
      <c r="L12" s="142">
        <f t="shared" si="7"/>
        <v>10000</v>
      </c>
      <c r="M12" s="142">
        <f t="shared" si="7"/>
        <v>10000</v>
      </c>
      <c r="N12" s="142" t="b">
        <f t="shared" si="7"/>
        <v>0</v>
      </c>
      <c r="O12" s="136">
        <f>N12+IF(I12=FALSE,0,I12)</f>
        <v>0</v>
      </c>
      <c r="P12" s="136">
        <f>O12+IF(J12=FALSE,0,J12)</f>
        <v>0</v>
      </c>
      <c r="Q12" s="136">
        <f t="shared" ref="Q12:T14" si="11">P12+IF(K12=FALSE,0,K12)</f>
        <v>10000</v>
      </c>
      <c r="R12" s="136">
        <f t="shared" si="11"/>
        <v>20000</v>
      </c>
      <c r="S12" s="136">
        <f t="shared" si="11"/>
        <v>30000</v>
      </c>
      <c r="T12" s="136">
        <f t="shared" si="11"/>
        <v>30000</v>
      </c>
      <c r="U12" s="136">
        <f>IF(I12=FALSE,0,$F12-O12)</f>
        <v>0</v>
      </c>
      <c r="V12" s="136">
        <f t="shared" si="9"/>
        <v>0</v>
      </c>
      <c r="W12" s="136">
        <f t="shared" si="9"/>
        <v>20000</v>
      </c>
      <c r="X12" s="136">
        <f t="shared" si="9"/>
        <v>10000</v>
      </c>
      <c r="Y12" s="136">
        <f t="shared" si="9"/>
        <v>0</v>
      </c>
      <c r="Z12" s="136">
        <f t="shared" si="9"/>
        <v>0</v>
      </c>
    </row>
    <row r="13" spans="2:26">
      <c r="B13" s="136">
        <v>3</v>
      </c>
      <c r="C13" s="136"/>
      <c r="D13" s="136"/>
      <c r="E13" s="136"/>
      <c r="F13" s="136">
        <v>120000</v>
      </c>
      <c r="G13" s="136">
        <v>20</v>
      </c>
      <c r="H13" s="136">
        <v>2023</v>
      </c>
      <c r="I13" s="142">
        <f t="shared" si="10"/>
        <v>6000</v>
      </c>
      <c r="J13" s="142">
        <f t="shared" si="10"/>
        <v>6000</v>
      </c>
      <c r="K13" s="142">
        <f t="shared" si="10"/>
        <v>6000</v>
      </c>
      <c r="L13" s="142">
        <f t="shared" si="10"/>
        <v>6000</v>
      </c>
      <c r="M13" s="142">
        <f t="shared" si="10"/>
        <v>6000</v>
      </c>
      <c r="N13" s="142">
        <f t="shared" si="10"/>
        <v>6000</v>
      </c>
      <c r="O13" s="136">
        <f>N13+IF(I13=FALSE,0,I13)</f>
        <v>12000</v>
      </c>
      <c r="P13" s="136">
        <f t="shared" ref="P13:P14" si="12">O13+IF(J13=FALSE,0,J13)</f>
        <v>18000</v>
      </c>
      <c r="Q13" s="136">
        <f t="shared" si="11"/>
        <v>24000</v>
      </c>
      <c r="R13" s="136">
        <f t="shared" si="11"/>
        <v>30000</v>
      </c>
      <c r="S13" s="136">
        <f t="shared" si="11"/>
        <v>36000</v>
      </c>
      <c r="T13" s="136">
        <f t="shared" si="11"/>
        <v>42000</v>
      </c>
      <c r="U13" s="136">
        <f>IF(I13=FALSE,0,$F13-O13)</f>
        <v>108000</v>
      </c>
      <c r="V13" s="136">
        <f t="shared" si="9"/>
        <v>102000</v>
      </c>
      <c r="W13" s="136">
        <f t="shared" si="9"/>
        <v>96000</v>
      </c>
      <c r="X13" s="136">
        <f t="shared" si="9"/>
        <v>90000</v>
      </c>
      <c r="Y13" s="136">
        <f t="shared" si="9"/>
        <v>84000</v>
      </c>
      <c r="Z13" s="136">
        <f t="shared" si="9"/>
        <v>78000</v>
      </c>
    </row>
    <row r="14" spans="2:26">
      <c r="B14" s="136"/>
      <c r="C14" s="136"/>
      <c r="D14" s="136"/>
      <c r="E14" s="136"/>
      <c r="F14" s="136">
        <v>5000</v>
      </c>
      <c r="G14" s="136">
        <v>4</v>
      </c>
      <c r="H14" s="136">
        <v>2023</v>
      </c>
      <c r="I14" s="142">
        <f t="shared" si="10"/>
        <v>1250</v>
      </c>
      <c r="J14" s="142">
        <f t="shared" si="10"/>
        <v>1250</v>
      </c>
      <c r="K14" s="142">
        <f t="shared" si="10"/>
        <v>1250</v>
      </c>
      <c r="L14" s="142">
        <f t="shared" si="10"/>
        <v>1250</v>
      </c>
      <c r="M14" s="142" t="b">
        <f t="shared" si="10"/>
        <v>0</v>
      </c>
      <c r="N14" s="142" t="b">
        <f t="shared" si="10"/>
        <v>0</v>
      </c>
      <c r="O14" s="136">
        <f>N14+IF(I14=FALSE,0,I14)</f>
        <v>1250</v>
      </c>
      <c r="P14" s="136">
        <f t="shared" si="12"/>
        <v>2500</v>
      </c>
      <c r="Q14" s="136">
        <f t="shared" si="11"/>
        <v>3750</v>
      </c>
      <c r="R14" s="136">
        <f t="shared" si="11"/>
        <v>5000</v>
      </c>
      <c r="S14" s="136">
        <f t="shared" si="11"/>
        <v>5000</v>
      </c>
      <c r="T14" s="136">
        <f t="shared" si="11"/>
        <v>5000</v>
      </c>
      <c r="U14" s="136">
        <f>IF(I14=FALSE,0,$F14-O14)</f>
        <v>3750</v>
      </c>
      <c r="V14" s="136">
        <f t="shared" si="9"/>
        <v>2500</v>
      </c>
      <c r="W14" s="136">
        <f t="shared" si="9"/>
        <v>1250</v>
      </c>
      <c r="X14" s="136">
        <f t="shared" si="9"/>
        <v>0</v>
      </c>
      <c r="Y14" s="136">
        <f t="shared" si="9"/>
        <v>0</v>
      </c>
      <c r="Z14" s="136">
        <f t="shared" si="9"/>
        <v>0</v>
      </c>
    </row>
  </sheetData>
  <mergeCells count="3">
    <mergeCell ref="I9:N9"/>
    <mergeCell ref="O9:T9"/>
    <mergeCell ref="U9:Z9"/>
  </mergeCells>
  <dataValidations count="3">
    <dataValidation type="list" allowBlank="1" showInputMessage="1" showErrorMessage="1" sqref="D13:E14" xr:uid="{BA22F740-5389-47AC-80A9-88A8DA16CD44}">
      <formula1>"AFT,AI"</formula1>
    </dataValidation>
    <dataValidation type="list" allowBlank="1" showInputMessage="1" showErrorMessage="1" sqref="I4" xr:uid="{91768DBA-3E76-4DCF-A705-63E2A47CDEE7}">
      <formula1>"Ativo fixo tangível,Ativo intangível"</formula1>
    </dataValidation>
    <dataValidation type="list" allowBlank="1" showInputMessage="1" showErrorMessage="1" sqref="I5" xr:uid="{B496FC88-919D-4699-BA58-C8160A6FE2DB}">
      <formula1>"Terrenos e recursos naturais,Equipamento de transporte,Patentes,Pressupostos!$B$142,Pressupostos!$B$147,Pressupostos!$B$152,Pressupostos!$B$157,Pressupostos!$B$162,Pressupostos!$B$169,Pressupostos!$B$174,Pressupostos!$B$179,Pressupostos!$B$184"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C5CE-69ED-43EA-A5D9-60A15EF8C427}">
  <dimension ref="B2:Q35"/>
  <sheetViews>
    <sheetView showGridLines="0" topLeftCell="A5" workbookViewId="0">
      <selection activeCell="D14" sqref="D14"/>
    </sheetView>
  </sheetViews>
  <sheetFormatPr defaultRowHeight="12"/>
  <cols>
    <col min="1" max="1" width="8.88671875" style="25"/>
    <col min="2" max="2" width="49" style="25" bestFit="1" customWidth="1"/>
    <col min="3" max="7" width="11.33203125" style="25" customWidth="1"/>
    <col min="8" max="8" width="11.33203125" style="25" bestFit="1" customWidth="1"/>
    <col min="9" max="17" width="10.21875" style="25" customWidth="1"/>
    <col min="18" max="16384" width="8.88671875" style="25"/>
  </cols>
  <sheetData>
    <row r="2" spans="2:17" ht="13.2">
      <c r="B2" s="101" t="s">
        <v>277</v>
      </c>
      <c r="C2" s="24"/>
      <c r="D2" s="24"/>
      <c r="E2" s="24"/>
      <c r="F2" s="24"/>
      <c r="G2" s="24"/>
      <c r="H2" s="24"/>
      <c r="I2" s="24"/>
      <c r="J2" s="24"/>
      <c r="K2" s="24"/>
    </row>
    <row r="3" spans="2:17" ht="13.2">
      <c r="B3" s="26" t="s">
        <v>15</v>
      </c>
      <c r="C3" s="26">
        <f>IF(Pressupostos!F$10&lt;&gt;"",Pressupostos!F$10,"")</f>
        <v>2024</v>
      </c>
      <c r="D3" s="26">
        <f>IF(Pressupostos!G$10&lt;&gt;"",Pressupostos!G$10,"")</f>
        <v>2025</v>
      </c>
      <c r="E3" s="26" t="str">
        <f>IF(Pressupostos!H$10&lt;&gt;"",Pressupostos!H$10,"")</f>
        <v/>
      </c>
      <c r="F3" s="26" t="str">
        <f>IF(Pressupostos!I$10&lt;&gt;"",Pressupostos!I$10,"")</f>
        <v/>
      </c>
      <c r="G3" s="26" t="str">
        <f>IF(Pressupostos!J$10&lt;&gt;"",Pressupostos!J$10,"")</f>
        <v/>
      </c>
      <c r="H3" s="26" t="str">
        <f>IF(Pressupostos!K$10&lt;&gt;"",Pressupostos!K$10,"")</f>
        <v/>
      </c>
      <c r="I3" s="26" t="str">
        <f>IF(Pressupostos!L$10&lt;&gt;"",Pressupostos!L$10,"")</f>
        <v/>
      </c>
      <c r="J3" s="26" t="str">
        <f>IF(Pressupostos!M$10&lt;&gt;"",Pressupostos!M$10,"")</f>
        <v/>
      </c>
      <c r="K3" s="26" t="str">
        <f>IF(Pressupostos!N$10&lt;&gt;"",Pressupostos!N$10,"")</f>
        <v/>
      </c>
      <c r="L3" s="26" t="str">
        <f>IF(Pressupostos!O$10&lt;&gt;"",Pressupostos!O$10,"")</f>
        <v/>
      </c>
      <c r="M3" s="26" t="str">
        <f>IF(Pressupostos!P$10&lt;&gt;"",Pressupostos!P$10,"")</f>
        <v/>
      </c>
      <c r="N3" s="26" t="str">
        <f>IF(Pressupostos!Q$10&lt;&gt;"",Pressupostos!Q$10,"")</f>
        <v/>
      </c>
      <c r="O3" s="26" t="str">
        <f>IF(Pressupostos!R$10&lt;&gt;"",Pressupostos!R$10,"")</f>
        <v/>
      </c>
      <c r="P3" s="26" t="str">
        <f>IF(Pressupostos!S$10&lt;&gt;"",Pressupostos!S$10,"")</f>
        <v/>
      </c>
      <c r="Q3" s="26" t="str">
        <f>IF(Pressupostos!T$10&lt;&gt;"",Pressupostos!T$10,"")</f>
        <v/>
      </c>
    </row>
    <row r="4" spans="2:17" ht="13.2">
      <c r="B4" s="96" t="s">
        <v>266</v>
      </c>
      <c r="C4" s="97"/>
      <c r="D4" s="97"/>
      <c r="E4" s="97"/>
      <c r="F4" s="97"/>
      <c r="G4" s="97"/>
      <c r="H4" s="97"/>
      <c r="I4" s="97"/>
      <c r="J4" s="97"/>
      <c r="K4" s="97"/>
    </row>
    <row r="5" spans="2:17" ht="13.2">
      <c r="B5" s="98" t="str">
        <f>+Pressupostos!B19</f>
        <v>Mercadoria 1</v>
      </c>
      <c r="C5" s="30">
        <f>IF(Pressupostos!F$10&lt;&gt;"",Pressupostos!F19*Pressupostos!F20*(1-Pressupostos!F21),"")</f>
        <v>100000</v>
      </c>
      <c r="D5" s="30">
        <f>IF(Pressupostos!G$10&lt;&gt;"",Pressupostos!G19*Pressupostos!G20*(1-Pressupostos!G21),"")</f>
        <v>150000</v>
      </c>
      <c r="E5" s="30" t="str">
        <f>IF(Pressupostos!H$10&lt;&gt;"",Pressupostos!H19*Pressupostos!H20*(1-Pressupostos!H21),"")</f>
        <v/>
      </c>
      <c r="F5" s="30" t="str">
        <f>IF(Pressupostos!I$10&lt;&gt;"",Pressupostos!I19*Pressupostos!I20*(1-Pressupostos!I21),"")</f>
        <v/>
      </c>
      <c r="G5" s="30" t="str">
        <f>IF(Pressupostos!J$10&lt;&gt;"",Pressupostos!J19*Pressupostos!J20*(1-Pressupostos!J21),"")</f>
        <v/>
      </c>
      <c r="H5" s="30" t="str">
        <f>IF(Pressupostos!K$10&lt;&gt;"",Pressupostos!K19*Pressupostos!K20*(1-Pressupostos!K21),"")</f>
        <v/>
      </c>
      <c r="I5" s="30" t="str">
        <f>IF(Pressupostos!L$10&lt;&gt;"",Pressupostos!L19*Pressupostos!L20*(1-Pressupostos!L21),"")</f>
        <v/>
      </c>
      <c r="J5" s="30" t="str">
        <f>IF(Pressupostos!M$10&lt;&gt;"",Pressupostos!M19*Pressupostos!M20*(1-Pressupostos!M21),"")</f>
        <v/>
      </c>
      <c r="K5" s="30" t="str">
        <f>IF(Pressupostos!N$10&lt;&gt;"",Pressupostos!N19*Pressupostos!N20*(1-Pressupostos!N21),"")</f>
        <v/>
      </c>
      <c r="L5" s="30" t="str">
        <f>IF(Pressupostos!O$10&lt;&gt;"",Pressupostos!O19*Pressupostos!O20*(1-Pressupostos!O21),"")</f>
        <v/>
      </c>
      <c r="M5" s="30" t="str">
        <f>IF(Pressupostos!P$10&lt;&gt;"",Pressupostos!P19*Pressupostos!P20*(1-Pressupostos!P21),"")</f>
        <v/>
      </c>
      <c r="N5" s="30" t="str">
        <f>IF(Pressupostos!Q$10&lt;&gt;"",Pressupostos!Q19*Pressupostos!Q20*(1-Pressupostos!Q21),"")</f>
        <v/>
      </c>
      <c r="O5" s="30" t="str">
        <f>IF(Pressupostos!R$10&lt;&gt;"",Pressupostos!R19*Pressupostos!R20*(1-Pressupostos!R21),"")</f>
        <v/>
      </c>
      <c r="P5" s="30" t="str">
        <f>IF(Pressupostos!S$10&lt;&gt;"",Pressupostos!S19*Pressupostos!S20*(1-Pressupostos!S21),"")</f>
        <v/>
      </c>
      <c r="Q5" s="30" t="str">
        <f>IF(Pressupostos!T$10&lt;&gt;"",Pressupostos!T19*Pressupostos!T20*(1-Pressupostos!T21),"")</f>
        <v/>
      </c>
    </row>
    <row r="6" spans="2:17" ht="13.2">
      <c r="B6" s="98" t="str">
        <f>+Pressupostos!B23</f>
        <v>Mercadoria 2</v>
      </c>
      <c r="C6" s="30">
        <f>IF(Pressupostos!F$10&lt;&gt;"",Pressupostos!F23*Pressupostos!F24*(1-Pressupostos!F25),"")</f>
        <v>10000</v>
      </c>
      <c r="D6" s="30">
        <f>IF(Pressupostos!G$10&lt;&gt;"",Pressupostos!G23*Pressupostos!G24*(1-Pressupostos!G25),"")</f>
        <v>15000</v>
      </c>
      <c r="E6" s="30" t="str">
        <f>IF(Pressupostos!H$10&lt;&gt;"",Pressupostos!H23*Pressupostos!H24*(1-Pressupostos!H25),"")</f>
        <v/>
      </c>
      <c r="F6" s="30" t="str">
        <f>IF(Pressupostos!I$10&lt;&gt;"",Pressupostos!I23*Pressupostos!I24*(1-Pressupostos!I25),"")</f>
        <v/>
      </c>
      <c r="G6" s="30" t="str">
        <f>IF(Pressupostos!J$10&lt;&gt;"",Pressupostos!J23*Pressupostos!J24*(1-Pressupostos!J25),"")</f>
        <v/>
      </c>
      <c r="H6" s="30" t="str">
        <f>IF(Pressupostos!K$10&lt;&gt;"",Pressupostos!K23*Pressupostos!K24*(1-Pressupostos!K25),"")</f>
        <v/>
      </c>
      <c r="I6" s="30" t="str">
        <f>IF(Pressupostos!L$10&lt;&gt;"",Pressupostos!L23*Pressupostos!L24*(1-Pressupostos!L25),"")</f>
        <v/>
      </c>
      <c r="J6" s="30" t="str">
        <f>IF(Pressupostos!M$10&lt;&gt;"",Pressupostos!M23*Pressupostos!M24*(1-Pressupostos!M25),"")</f>
        <v/>
      </c>
      <c r="K6" s="30" t="str">
        <f>IF(Pressupostos!N$10&lt;&gt;"",Pressupostos!N23*Pressupostos!N24*(1-Pressupostos!N25),"")</f>
        <v/>
      </c>
      <c r="L6" s="30" t="str">
        <f>IF(Pressupostos!O$10&lt;&gt;"",Pressupostos!O23*Pressupostos!O24*(1-Pressupostos!O25),"")</f>
        <v/>
      </c>
      <c r="M6" s="30" t="str">
        <f>IF(Pressupostos!P$10&lt;&gt;"",Pressupostos!P23*Pressupostos!P24*(1-Pressupostos!P25),"")</f>
        <v/>
      </c>
      <c r="N6" s="30" t="str">
        <f>IF(Pressupostos!Q$10&lt;&gt;"",Pressupostos!Q23*Pressupostos!Q24*(1-Pressupostos!Q25),"")</f>
        <v/>
      </c>
      <c r="O6" s="30" t="str">
        <f>IF(Pressupostos!R$10&lt;&gt;"",Pressupostos!R23*Pressupostos!R24*(1-Pressupostos!R25),"")</f>
        <v/>
      </c>
      <c r="P6" s="30" t="str">
        <f>IF(Pressupostos!S$10&lt;&gt;"",Pressupostos!S23*Pressupostos!S24*(1-Pressupostos!S25),"")</f>
        <v/>
      </c>
      <c r="Q6" s="30" t="str">
        <f>IF(Pressupostos!T$10&lt;&gt;"",Pressupostos!T23*Pressupostos!T24*(1-Pressupostos!T25),"")</f>
        <v/>
      </c>
    </row>
    <row r="7" spans="2:17" ht="13.2">
      <c r="B7" s="28" t="s">
        <v>273</v>
      </c>
      <c r="C7" s="30"/>
      <c r="D7" s="30"/>
      <c r="E7" s="30"/>
      <c r="F7" s="30"/>
      <c r="G7" s="30"/>
      <c r="H7" s="30"/>
      <c r="I7" s="30"/>
      <c r="J7" s="30"/>
      <c r="K7" s="30"/>
    </row>
    <row r="8" spans="2:17" ht="13.2">
      <c r="B8" s="98" t="str">
        <f>_xlfn.CONCAT("Matérias-primas do ",Pressupostos!B29)</f>
        <v>Matérias-primas do Produto 1</v>
      </c>
      <c r="C8" s="30">
        <f>IF(Pressupostos!F$10&lt;&gt;"",Pressupostos!F29*Pressupostos!F30*(1-Pressupostos!F31),"")</f>
        <v>10000</v>
      </c>
      <c r="D8" s="30">
        <f>IF(Pressupostos!G$10&lt;&gt;"",Pressupostos!G29*Pressupostos!G30*(1-Pressupostos!G31),"")</f>
        <v>15000</v>
      </c>
      <c r="E8" s="30" t="str">
        <f>IF(Pressupostos!H$10&lt;&gt;"",Pressupostos!H29*Pressupostos!H30*(1-Pressupostos!H31),"")</f>
        <v/>
      </c>
      <c r="F8" s="30" t="str">
        <f>IF(Pressupostos!I$10&lt;&gt;"",Pressupostos!I29*Pressupostos!I30*(1-Pressupostos!I31),"")</f>
        <v/>
      </c>
      <c r="G8" s="30" t="str">
        <f>IF(Pressupostos!J$10&lt;&gt;"",Pressupostos!J29*Pressupostos!J30*(1-Pressupostos!J31),"")</f>
        <v/>
      </c>
      <c r="H8" s="30" t="str">
        <f>IF(Pressupostos!K$10&lt;&gt;"",Pressupostos!K29*Pressupostos!K30*(1-Pressupostos!K31),"")</f>
        <v/>
      </c>
      <c r="I8" s="30" t="str">
        <f>IF(Pressupostos!L$10&lt;&gt;"",Pressupostos!L29*Pressupostos!L30*(1-Pressupostos!L31),"")</f>
        <v/>
      </c>
      <c r="J8" s="30" t="str">
        <f>IF(Pressupostos!M$10&lt;&gt;"",Pressupostos!M29*Pressupostos!M30*(1-Pressupostos!M31),"")</f>
        <v/>
      </c>
      <c r="K8" s="30" t="str">
        <f>IF(Pressupostos!N$10&lt;&gt;"",Pressupostos!N29*Pressupostos!N30*(1-Pressupostos!N31),"")</f>
        <v/>
      </c>
      <c r="L8" s="30" t="str">
        <f>IF(Pressupostos!O$10&lt;&gt;"",Pressupostos!O29*Pressupostos!O30*(1-Pressupostos!O31),"")</f>
        <v/>
      </c>
      <c r="M8" s="30" t="str">
        <f>IF(Pressupostos!P$10&lt;&gt;"",Pressupostos!P29*Pressupostos!P30*(1-Pressupostos!P31),"")</f>
        <v/>
      </c>
      <c r="N8" s="30" t="str">
        <f>IF(Pressupostos!Q$10&lt;&gt;"",Pressupostos!Q29*Pressupostos!Q30*(1-Pressupostos!Q31),"")</f>
        <v/>
      </c>
      <c r="O8" s="30" t="str">
        <f>IF(Pressupostos!R$10&lt;&gt;"",Pressupostos!R29*Pressupostos!R30*(1-Pressupostos!R31),"")</f>
        <v/>
      </c>
      <c r="P8" s="30" t="str">
        <f>IF(Pressupostos!S$10&lt;&gt;"",Pressupostos!S29*Pressupostos!S30*(1-Pressupostos!S31),"")</f>
        <v/>
      </c>
      <c r="Q8" s="30" t="str">
        <f>IF(Pressupostos!T$10&lt;&gt;"",Pressupostos!T29*Pressupostos!T30*(1-Pressupostos!T31),"")</f>
        <v/>
      </c>
    </row>
    <row r="9" spans="2:17" ht="13.2">
      <c r="B9" s="98" t="str">
        <f>_xlfn.CONCAT("Matérias-primas do ",Pressupostos!B33)</f>
        <v>Matérias-primas do Produto 2</v>
      </c>
      <c r="C9" s="30">
        <f>IF(Pressupostos!F$10&lt;&gt;"",Pressupostos!F33*Pressupostos!F34*(1-Pressupostos!F35),"")</f>
        <v>10000</v>
      </c>
      <c r="D9" s="30">
        <f>IF(Pressupostos!G$10&lt;&gt;"",Pressupostos!G33*Pressupostos!G34*(1-Pressupostos!G35),"")</f>
        <v>15000</v>
      </c>
      <c r="E9" s="30" t="str">
        <f>IF(Pressupostos!H$10&lt;&gt;"",Pressupostos!H33*Pressupostos!H34*(1-Pressupostos!H35),"")</f>
        <v/>
      </c>
      <c r="F9" s="30" t="str">
        <f>IF(Pressupostos!I$10&lt;&gt;"",Pressupostos!I33*Pressupostos!I34*(1-Pressupostos!I35),"")</f>
        <v/>
      </c>
      <c r="G9" s="30" t="str">
        <f>IF(Pressupostos!J$10&lt;&gt;"",Pressupostos!J33*Pressupostos!J34*(1-Pressupostos!J35),"")</f>
        <v/>
      </c>
      <c r="H9" s="30" t="str">
        <f>IF(Pressupostos!K$10&lt;&gt;"",Pressupostos!K33*Pressupostos!K34*(1-Pressupostos!K35),"")</f>
        <v/>
      </c>
      <c r="I9" s="30" t="str">
        <f>IF(Pressupostos!L$10&lt;&gt;"",Pressupostos!L33*Pressupostos!L34*(1-Pressupostos!L35),"")</f>
        <v/>
      </c>
      <c r="J9" s="30" t="str">
        <f>IF(Pressupostos!M$10&lt;&gt;"",Pressupostos!M33*Pressupostos!M34*(1-Pressupostos!M35),"")</f>
        <v/>
      </c>
      <c r="K9" s="30" t="str">
        <f>IF(Pressupostos!N$10&lt;&gt;"",Pressupostos!N33*Pressupostos!N34*(1-Pressupostos!N35),"")</f>
        <v/>
      </c>
      <c r="L9" s="30" t="str">
        <f>IF(Pressupostos!O$10&lt;&gt;"",Pressupostos!O33*Pressupostos!O34*(1-Pressupostos!O35),"")</f>
        <v/>
      </c>
      <c r="M9" s="30" t="str">
        <f>IF(Pressupostos!P$10&lt;&gt;"",Pressupostos!P33*Pressupostos!P34*(1-Pressupostos!P35),"")</f>
        <v/>
      </c>
      <c r="N9" s="30" t="str">
        <f>IF(Pressupostos!Q$10&lt;&gt;"",Pressupostos!Q33*Pressupostos!Q34*(1-Pressupostos!Q35),"")</f>
        <v/>
      </c>
      <c r="O9" s="30" t="str">
        <f>IF(Pressupostos!R$10&lt;&gt;"",Pressupostos!R33*Pressupostos!R34*(1-Pressupostos!R35),"")</f>
        <v/>
      </c>
      <c r="P9" s="30" t="str">
        <f>IF(Pressupostos!S$10&lt;&gt;"",Pressupostos!S33*Pressupostos!S34*(1-Pressupostos!S35),"")</f>
        <v/>
      </c>
      <c r="Q9" s="30" t="str">
        <f>IF(Pressupostos!T$10&lt;&gt;"",Pressupostos!T33*Pressupostos!T34*(1-Pressupostos!T35),"")</f>
        <v/>
      </c>
    </row>
    <row r="10" spans="2:17" ht="13.2">
      <c r="B10" s="96" t="s">
        <v>270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</row>
    <row r="11" spans="2:17" ht="13.2">
      <c r="B11" s="98" t="str">
        <f>B5</f>
        <v>Mercadoria 1</v>
      </c>
      <c r="C11" s="30">
        <f>IF(Pressupostos!F$10&lt;&gt;"",C5/12*Pressupostos!$D$125,"")</f>
        <v>4166.666666666667</v>
      </c>
      <c r="D11" s="30">
        <f>IF(Pressupostos!G$10&lt;&gt;"",D5/12*Pressupostos!$D$125,"")</f>
        <v>6250</v>
      </c>
      <c r="E11" s="30" t="str">
        <f>IF(Pressupostos!H$10&lt;&gt;"",E5/12*Pressupostos!$D$125,"")</f>
        <v/>
      </c>
      <c r="F11" s="30" t="str">
        <f>IF(Pressupostos!I$10&lt;&gt;"",F5/12*Pressupostos!$D$125,"")</f>
        <v/>
      </c>
      <c r="G11" s="30" t="str">
        <f>IF(Pressupostos!J$10&lt;&gt;"",G5/12*Pressupostos!$D$125,"")</f>
        <v/>
      </c>
      <c r="H11" s="30" t="str">
        <f>IF(Pressupostos!K$10&lt;&gt;"",H5/12*Pressupostos!$D$125,"")</f>
        <v/>
      </c>
      <c r="I11" s="30" t="str">
        <f>IF(Pressupostos!L$10&lt;&gt;"",I5/12*Pressupostos!$D$125,"")</f>
        <v/>
      </c>
      <c r="J11" s="30" t="str">
        <f>IF(Pressupostos!M$10&lt;&gt;"",J5/12*Pressupostos!$D$125,"")</f>
        <v/>
      </c>
      <c r="K11" s="30" t="str">
        <f>IF(Pressupostos!N$10&lt;&gt;"",K5/12*Pressupostos!$D$125,"")</f>
        <v/>
      </c>
      <c r="L11" s="30" t="str">
        <f>IF(Pressupostos!O$10&lt;&gt;"",L5/12*Pressupostos!$D$125,"")</f>
        <v/>
      </c>
      <c r="M11" s="30" t="str">
        <f>IF(Pressupostos!P$10&lt;&gt;"",M5/12*Pressupostos!$D$125,"")</f>
        <v/>
      </c>
      <c r="N11" s="30" t="str">
        <f>IF(Pressupostos!Q$10&lt;&gt;"",N5/12*Pressupostos!$D$125,"")</f>
        <v/>
      </c>
      <c r="O11" s="30" t="str">
        <f>IF(Pressupostos!R$10&lt;&gt;"",O5/12*Pressupostos!$D$125,"")</f>
        <v/>
      </c>
      <c r="P11" s="30" t="str">
        <f>IF(Pressupostos!S$10&lt;&gt;"",P5/12*Pressupostos!$D$125,"")</f>
        <v/>
      </c>
      <c r="Q11" s="30" t="str">
        <f>IF(Pressupostos!T$10&lt;&gt;"",Q5/12*Pressupostos!$D$125,"")</f>
        <v/>
      </c>
    </row>
    <row r="12" spans="2:17" ht="13.2">
      <c r="B12" s="98" t="str">
        <f>B6</f>
        <v>Mercadoria 2</v>
      </c>
      <c r="C12" s="30">
        <f>IF(Pressupostos!F$10&lt;&gt;"",C6/12*Pressupostos!$D$125,"")</f>
        <v>416.66666666666669</v>
      </c>
      <c r="D12" s="30">
        <f>IF(Pressupostos!G$10&lt;&gt;"",D6/12*Pressupostos!$D$125,"")</f>
        <v>625</v>
      </c>
      <c r="E12" s="30" t="str">
        <f>IF(Pressupostos!H$10&lt;&gt;"",E6/12*Pressupostos!$D$125,"")</f>
        <v/>
      </c>
      <c r="F12" s="30" t="str">
        <f>IF(Pressupostos!I$10&lt;&gt;"",F6/12*Pressupostos!$D$125,"")</f>
        <v/>
      </c>
      <c r="G12" s="30" t="str">
        <f>IF(Pressupostos!J$10&lt;&gt;"",G6/12*Pressupostos!$D$125,"")</f>
        <v/>
      </c>
      <c r="H12" s="30" t="str">
        <f>IF(Pressupostos!K$10&lt;&gt;"",H6/12*Pressupostos!$D$125,"")</f>
        <v/>
      </c>
      <c r="I12" s="30" t="str">
        <f>IF(Pressupostos!L$10&lt;&gt;"",I6/12*Pressupostos!$D$125,"")</f>
        <v/>
      </c>
      <c r="J12" s="30" t="str">
        <f>IF(Pressupostos!M$10&lt;&gt;"",J6/12*Pressupostos!$D$125,"")</f>
        <v/>
      </c>
      <c r="K12" s="30" t="str">
        <f>IF(Pressupostos!N$10&lt;&gt;"",K6/12*Pressupostos!$D$125,"")</f>
        <v/>
      </c>
      <c r="L12" s="30" t="str">
        <f>IF(Pressupostos!O$10&lt;&gt;"",L6/12*Pressupostos!$D$125,"")</f>
        <v/>
      </c>
      <c r="M12" s="30" t="str">
        <f>IF(Pressupostos!P$10&lt;&gt;"",M6/12*Pressupostos!$D$125,"")</f>
        <v/>
      </c>
      <c r="N12" s="30" t="str">
        <f>IF(Pressupostos!Q$10&lt;&gt;"",N6/12*Pressupostos!$D$125,"")</f>
        <v/>
      </c>
      <c r="O12" s="30" t="str">
        <f>IF(Pressupostos!R$10&lt;&gt;"",O6/12*Pressupostos!$D$125,"")</f>
        <v/>
      </c>
      <c r="P12" s="30" t="str">
        <f>IF(Pressupostos!S$10&lt;&gt;"",P6/12*Pressupostos!$D$125,"")</f>
        <v/>
      </c>
      <c r="Q12" s="30" t="str">
        <f>IF(Pressupostos!T$10&lt;&gt;"",Q6/12*Pressupostos!$D$125,"")</f>
        <v/>
      </c>
    </row>
    <row r="13" spans="2:17" ht="13.2">
      <c r="B13" s="28" t="s">
        <v>267</v>
      </c>
      <c r="C13" s="30"/>
      <c r="D13" s="30"/>
      <c r="E13" s="30"/>
      <c r="F13" s="30"/>
      <c r="G13" s="30"/>
      <c r="H13" s="30"/>
      <c r="I13" s="30"/>
      <c r="J13" s="30"/>
      <c r="K13" s="30"/>
    </row>
    <row r="14" spans="2:17" ht="13.2">
      <c r="B14" s="98" t="str">
        <f>+B8</f>
        <v>Matérias-primas do Produto 1</v>
      </c>
      <c r="C14" s="30">
        <f>IF(Pressupostos!F$10&lt;&gt;"",C8/12*Pressupostos!$D$126,"")</f>
        <v>416.66666666666669</v>
      </c>
      <c r="D14" s="30">
        <f>IF(Pressupostos!G$10&lt;&gt;"",D8/12*Pressupostos!$D$126,"")</f>
        <v>625</v>
      </c>
      <c r="E14" s="30" t="str">
        <f>IF(Pressupostos!H$10&lt;&gt;"",E8/12*Pressupostos!$D$126,"")</f>
        <v/>
      </c>
      <c r="F14" s="30" t="str">
        <f>IF(Pressupostos!I$10&lt;&gt;"",F8/12*Pressupostos!$D$126,"")</f>
        <v/>
      </c>
      <c r="G14" s="30" t="str">
        <f>IF(Pressupostos!J$10&lt;&gt;"",G8/12*Pressupostos!$D$126,"")</f>
        <v/>
      </c>
      <c r="H14" s="30" t="str">
        <f>IF(Pressupostos!K$10&lt;&gt;"",H8/12*Pressupostos!$D$126,"")</f>
        <v/>
      </c>
      <c r="I14" s="30" t="str">
        <f>IF(Pressupostos!L$10&lt;&gt;"",I8/12*Pressupostos!$D$126,"")</f>
        <v/>
      </c>
      <c r="J14" s="30" t="str">
        <f>IF(Pressupostos!M$10&lt;&gt;"",J8/12*Pressupostos!$D$126,"")</f>
        <v/>
      </c>
      <c r="K14" s="30" t="str">
        <f>IF(Pressupostos!N$10&lt;&gt;"",K8/12*Pressupostos!$D$126,"")</f>
        <v/>
      </c>
      <c r="L14" s="30" t="str">
        <f>IF(Pressupostos!O$10&lt;&gt;"",L8/12*Pressupostos!$D$126,"")</f>
        <v/>
      </c>
      <c r="M14" s="30" t="str">
        <f>IF(Pressupostos!P$10&lt;&gt;"",M8/12*Pressupostos!$D$126,"")</f>
        <v/>
      </c>
      <c r="N14" s="30" t="str">
        <f>IF(Pressupostos!Q$10&lt;&gt;"",N8/12*Pressupostos!$D$126,"")</f>
        <v/>
      </c>
      <c r="O14" s="30" t="str">
        <f>IF(Pressupostos!R$10&lt;&gt;"",O8/12*Pressupostos!$D$126,"")</f>
        <v/>
      </c>
      <c r="P14" s="30" t="str">
        <f>IF(Pressupostos!S$10&lt;&gt;"",P8/12*Pressupostos!$D$126,"")</f>
        <v/>
      </c>
      <c r="Q14" s="30" t="str">
        <f>IF(Pressupostos!T$10&lt;&gt;"",Q8/12*Pressupostos!$D$126,"")</f>
        <v/>
      </c>
    </row>
    <row r="15" spans="2:17" ht="13.2">
      <c r="B15" s="98" t="str">
        <f>+B9</f>
        <v>Matérias-primas do Produto 2</v>
      </c>
      <c r="C15" s="30">
        <f>IF(Pressupostos!F$10&lt;&gt;"",C9/12*Pressupostos!$D$126,"")</f>
        <v>416.66666666666669</v>
      </c>
      <c r="D15" s="30">
        <f>IF(Pressupostos!G$10&lt;&gt;"",D9/12*Pressupostos!$D$126,"")</f>
        <v>625</v>
      </c>
      <c r="E15" s="30" t="str">
        <f>IF(Pressupostos!H$10&lt;&gt;"",E9/12*Pressupostos!$D$126,"")</f>
        <v/>
      </c>
      <c r="F15" s="30" t="str">
        <f>IF(Pressupostos!I$10&lt;&gt;"",F9/12*Pressupostos!$D$126,"")</f>
        <v/>
      </c>
      <c r="G15" s="30" t="str">
        <f>IF(Pressupostos!J$10&lt;&gt;"",G9/12*Pressupostos!$D$126,"")</f>
        <v/>
      </c>
      <c r="H15" s="30" t="str">
        <f>IF(Pressupostos!K$10&lt;&gt;"",H9/12*Pressupostos!$D$126,"")</f>
        <v/>
      </c>
      <c r="I15" s="30" t="str">
        <f>IF(Pressupostos!L$10&lt;&gt;"",I9/12*Pressupostos!$D$126,"")</f>
        <v/>
      </c>
      <c r="J15" s="30" t="str">
        <f>IF(Pressupostos!M$10&lt;&gt;"",J9/12*Pressupostos!$D$126,"")</f>
        <v/>
      </c>
      <c r="K15" s="30" t="str">
        <f>IF(Pressupostos!N$10&lt;&gt;"",K9/12*Pressupostos!$D$126,"")</f>
        <v/>
      </c>
      <c r="L15" s="30" t="str">
        <f>IF(Pressupostos!O$10&lt;&gt;"",L9/12*Pressupostos!$D$126,"")</f>
        <v/>
      </c>
      <c r="M15" s="30" t="str">
        <f>IF(Pressupostos!P$10&lt;&gt;"",M9/12*Pressupostos!$D$126,"")</f>
        <v/>
      </c>
      <c r="N15" s="30" t="str">
        <f>IF(Pressupostos!Q$10&lt;&gt;"",N9/12*Pressupostos!$D$126,"")</f>
        <v/>
      </c>
      <c r="O15" s="30" t="str">
        <f>IF(Pressupostos!R$10&lt;&gt;"",O9/12*Pressupostos!$D$126,"")</f>
        <v/>
      </c>
      <c r="P15" s="30" t="str">
        <f>IF(Pressupostos!S$10&lt;&gt;"",P9/12*Pressupostos!$D$126,"")</f>
        <v/>
      </c>
      <c r="Q15" s="30" t="str">
        <f>IF(Pressupostos!T$10&lt;&gt;"",Q9/12*Pressupostos!$D$126,"")</f>
        <v/>
      </c>
    </row>
    <row r="16" spans="2:17" ht="13.2">
      <c r="B16" s="96" t="s">
        <v>269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</row>
    <row r="17" spans="2:17" ht="13.2">
      <c r="B17" s="98" t="str">
        <f>B11</f>
        <v>Mercadoria 1</v>
      </c>
      <c r="C17" s="30"/>
      <c r="D17" s="30">
        <f>IF(Pressupostos!G$10&lt;&gt;"",C11,"")</f>
        <v>4166.666666666667</v>
      </c>
      <c r="E17" s="30" t="str">
        <f>IF(Pressupostos!H$10&lt;&gt;"",D11,"")</f>
        <v/>
      </c>
      <c r="F17" s="30" t="str">
        <f>IF(Pressupostos!I$10&lt;&gt;"",E11,"")</f>
        <v/>
      </c>
      <c r="G17" s="30" t="str">
        <f>IF(Pressupostos!J$10&lt;&gt;"",F11,"")</f>
        <v/>
      </c>
      <c r="H17" s="30" t="str">
        <f>IF(Pressupostos!K$10&lt;&gt;"",G11,"")</f>
        <v/>
      </c>
      <c r="I17" s="30" t="str">
        <f>IF(Pressupostos!L$10&lt;&gt;"",H11,"")</f>
        <v/>
      </c>
      <c r="J17" s="30" t="str">
        <f>IF(Pressupostos!M$10&lt;&gt;"",I11,"")</f>
        <v/>
      </c>
      <c r="K17" s="30" t="str">
        <f>IF(Pressupostos!N$10&lt;&gt;"",J11,"")</f>
        <v/>
      </c>
      <c r="L17" s="30" t="str">
        <f>IF(Pressupostos!O$10&lt;&gt;"",K11,"")</f>
        <v/>
      </c>
      <c r="M17" s="30" t="str">
        <f>IF(Pressupostos!P$10&lt;&gt;"",L11,"")</f>
        <v/>
      </c>
      <c r="N17" s="30" t="str">
        <f>IF(Pressupostos!Q$10&lt;&gt;"",M11,"")</f>
        <v/>
      </c>
      <c r="O17" s="30" t="str">
        <f>IF(Pressupostos!R$10&lt;&gt;"",N11,"")</f>
        <v/>
      </c>
      <c r="P17" s="30" t="str">
        <f>IF(Pressupostos!S$10&lt;&gt;"",O11,"")</f>
        <v/>
      </c>
      <c r="Q17" s="30" t="str">
        <f>IF(Pressupostos!T$10&lt;&gt;"",P11,"")</f>
        <v/>
      </c>
    </row>
    <row r="18" spans="2:17" ht="13.2">
      <c r="B18" s="98" t="str">
        <f>B12</f>
        <v>Mercadoria 2</v>
      </c>
      <c r="C18" s="30"/>
      <c r="D18" s="30">
        <f>IF(Pressupostos!G$10&lt;&gt;"",C12,"")</f>
        <v>416.66666666666669</v>
      </c>
      <c r="E18" s="30" t="str">
        <f>IF(Pressupostos!H$10&lt;&gt;"",D12,"")</f>
        <v/>
      </c>
      <c r="F18" s="30" t="str">
        <f>IF(Pressupostos!I$10&lt;&gt;"",E12,"")</f>
        <v/>
      </c>
      <c r="G18" s="30" t="str">
        <f>IF(Pressupostos!J$10&lt;&gt;"",F12,"")</f>
        <v/>
      </c>
      <c r="H18" s="30" t="str">
        <f>IF(Pressupostos!K$10&lt;&gt;"",G12,"")</f>
        <v/>
      </c>
      <c r="I18" s="30" t="str">
        <f>IF(Pressupostos!L$10&lt;&gt;"",H12,"")</f>
        <v/>
      </c>
      <c r="J18" s="30" t="str">
        <f>IF(Pressupostos!M$10&lt;&gt;"",I12,"")</f>
        <v/>
      </c>
      <c r="K18" s="30" t="str">
        <f>IF(Pressupostos!N$10&lt;&gt;"",J12,"")</f>
        <v/>
      </c>
      <c r="L18" s="30" t="str">
        <f>IF(Pressupostos!O$10&lt;&gt;"",K12,"")</f>
        <v/>
      </c>
      <c r="M18" s="30" t="str">
        <f>IF(Pressupostos!P$10&lt;&gt;"",L12,"")</f>
        <v/>
      </c>
      <c r="N18" s="30" t="str">
        <f>IF(Pressupostos!Q$10&lt;&gt;"",M12,"")</f>
        <v/>
      </c>
      <c r="O18" s="30" t="str">
        <f>IF(Pressupostos!R$10&lt;&gt;"",N12,"")</f>
        <v/>
      </c>
      <c r="P18" s="30" t="str">
        <f>IF(Pressupostos!S$10&lt;&gt;"",O12,"")</f>
        <v/>
      </c>
      <c r="Q18" s="30" t="str">
        <f>IF(Pressupostos!T$10&lt;&gt;"",P12,"")</f>
        <v/>
      </c>
    </row>
    <row r="19" spans="2:17" ht="13.2">
      <c r="B19" s="28" t="s">
        <v>271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spans="2:17" ht="13.2">
      <c r="B20" s="98" t="str">
        <f>+B14</f>
        <v>Matérias-primas do Produto 1</v>
      </c>
      <c r="C20" s="30"/>
      <c r="D20" s="30">
        <f>IF(Pressupostos!G$10&lt;&gt;"",C14,"")</f>
        <v>416.66666666666669</v>
      </c>
      <c r="E20" s="30" t="str">
        <f>IF(Pressupostos!H$10&lt;&gt;"",D14,"")</f>
        <v/>
      </c>
      <c r="F20" s="30" t="str">
        <f>IF(Pressupostos!I$10&lt;&gt;"",E14,"")</f>
        <v/>
      </c>
      <c r="G20" s="30" t="str">
        <f>IF(Pressupostos!J$10&lt;&gt;"",F14,"")</f>
        <v/>
      </c>
      <c r="H20" s="30" t="str">
        <f>IF(Pressupostos!K$10&lt;&gt;"",G14,"")</f>
        <v/>
      </c>
      <c r="I20" s="30" t="str">
        <f>IF(Pressupostos!L$10&lt;&gt;"",H14,"")</f>
        <v/>
      </c>
      <c r="J20" s="30" t="str">
        <f>IF(Pressupostos!M$10&lt;&gt;"",I14,"")</f>
        <v/>
      </c>
      <c r="K20" s="30" t="str">
        <f>IF(Pressupostos!N$10&lt;&gt;"",J14,"")</f>
        <v/>
      </c>
      <c r="L20" s="30" t="str">
        <f>IF(Pressupostos!O$10&lt;&gt;"",K14,"")</f>
        <v/>
      </c>
      <c r="M20" s="30" t="str">
        <f>IF(Pressupostos!P$10&lt;&gt;"",L14,"")</f>
        <v/>
      </c>
      <c r="N20" s="30" t="str">
        <f>IF(Pressupostos!Q$10&lt;&gt;"",M14,"")</f>
        <v/>
      </c>
      <c r="O20" s="30" t="str">
        <f>IF(Pressupostos!R$10&lt;&gt;"",N14,"")</f>
        <v/>
      </c>
      <c r="P20" s="30" t="str">
        <f>IF(Pressupostos!S$10&lt;&gt;"",O14,"")</f>
        <v/>
      </c>
      <c r="Q20" s="30" t="str">
        <f>IF(Pressupostos!T$10&lt;&gt;"",P14,"")</f>
        <v/>
      </c>
    </row>
    <row r="21" spans="2:17" ht="13.2">
      <c r="B21" s="98" t="str">
        <f>+B15</f>
        <v>Matérias-primas do Produto 2</v>
      </c>
      <c r="C21" s="30"/>
      <c r="D21" s="30">
        <f>IF(Pressupostos!G$10&lt;&gt;"",C15,"")</f>
        <v>416.66666666666669</v>
      </c>
      <c r="E21" s="30" t="str">
        <f>IF(Pressupostos!H$10&lt;&gt;"",D15,"")</f>
        <v/>
      </c>
      <c r="F21" s="30" t="str">
        <f>IF(Pressupostos!I$10&lt;&gt;"",E15,"")</f>
        <v/>
      </c>
      <c r="G21" s="30" t="str">
        <f>IF(Pressupostos!J$10&lt;&gt;"",F15,"")</f>
        <v/>
      </c>
      <c r="H21" s="30" t="str">
        <f>IF(Pressupostos!K$10&lt;&gt;"",G15,"")</f>
        <v/>
      </c>
      <c r="I21" s="30" t="str">
        <f>IF(Pressupostos!L$10&lt;&gt;"",H15,"")</f>
        <v/>
      </c>
      <c r="J21" s="30" t="str">
        <f>IF(Pressupostos!M$10&lt;&gt;"",I15,"")</f>
        <v/>
      </c>
      <c r="K21" s="30" t="str">
        <f>IF(Pressupostos!N$10&lt;&gt;"",J15,"")</f>
        <v/>
      </c>
      <c r="L21" s="30" t="str">
        <f>IF(Pressupostos!O$10&lt;&gt;"",K15,"")</f>
        <v/>
      </c>
      <c r="M21" s="30" t="str">
        <f>IF(Pressupostos!P$10&lt;&gt;"",L15,"")</f>
        <v/>
      </c>
      <c r="N21" s="30" t="str">
        <f>IF(Pressupostos!Q$10&lt;&gt;"",M15,"")</f>
        <v/>
      </c>
      <c r="O21" s="30" t="str">
        <f>IF(Pressupostos!R$10&lt;&gt;"",N15,"")</f>
        <v/>
      </c>
      <c r="P21" s="30" t="str">
        <f>IF(Pressupostos!S$10&lt;&gt;"",O15,"")</f>
        <v/>
      </c>
      <c r="Q21" s="30" t="str">
        <f>IF(Pressupostos!T$10&lt;&gt;"",P15,"")</f>
        <v/>
      </c>
    </row>
    <row r="22" spans="2:17" ht="13.2">
      <c r="B22" s="96" t="s">
        <v>272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</row>
    <row r="23" spans="2:17" ht="13.2">
      <c r="B23" s="98" t="str">
        <f>B17</f>
        <v>Mercadoria 1</v>
      </c>
      <c r="C23" s="30">
        <f>IF(Pressupostos!F$10&lt;&gt;"",C5+C11-C17,"")</f>
        <v>104166.66666666667</v>
      </c>
      <c r="D23" s="30">
        <f>IF(Pressupostos!G$10&lt;&gt;"",D5+D11-D17,"")</f>
        <v>152083.33333333334</v>
      </c>
      <c r="E23" s="30" t="str">
        <f>IF(Pressupostos!H$10&lt;&gt;"",E5+E11-E17,"")</f>
        <v/>
      </c>
      <c r="F23" s="30" t="str">
        <f>IF(Pressupostos!I$10&lt;&gt;"",F5+F11-F17,"")</f>
        <v/>
      </c>
      <c r="G23" s="30" t="str">
        <f>IF(Pressupostos!J$10&lt;&gt;"",G5+G11-G17,"")</f>
        <v/>
      </c>
      <c r="H23" s="30" t="str">
        <f>IF(Pressupostos!K$10&lt;&gt;"",H5+H11-H17,"")</f>
        <v/>
      </c>
      <c r="I23" s="30" t="str">
        <f>IF(Pressupostos!L$10&lt;&gt;"",I5+I11-I17,"")</f>
        <v/>
      </c>
      <c r="J23" s="30" t="str">
        <f>IF(Pressupostos!M$10&lt;&gt;"",J5+J11-J17,"")</f>
        <v/>
      </c>
      <c r="K23" s="30" t="str">
        <f>IF(Pressupostos!N$10&lt;&gt;"",K5+K11-K17,"")</f>
        <v/>
      </c>
      <c r="L23" s="30" t="str">
        <f>IF(Pressupostos!O$10&lt;&gt;"",L5+L11-L17,"")</f>
        <v/>
      </c>
      <c r="M23" s="30" t="str">
        <f>IF(Pressupostos!P$10&lt;&gt;"",M5+M11-M17,"")</f>
        <v/>
      </c>
      <c r="N23" s="30" t="str">
        <f>IF(Pressupostos!Q$10&lt;&gt;"",N5+N11-N17,"")</f>
        <v/>
      </c>
      <c r="O23" s="30" t="str">
        <f>IF(Pressupostos!R$10&lt;&gt;"",O5+O11-O17,"")</f>
        <v/>
      </c>
      <c r="P23" s="30" t="str">
        <f>IF(Pressupostos!S$10&lt;&gt;"",P5+P11-P17,"")</f>
        <v/>
      </c>
      <c r="Q23" s="30" t="str">
        <f>IF(Pressupostos!T$10&lt;&gt;"",Q5+Q11-Q17,"")</f>
        <v/>
      </c>
    </row>
    <row r="24" spans="2:17" ht="13.2">
      <c r="B24" s="98" t="str">
        <f>B18</f>
        <v>Mercadoria 2</v>
      </c>
      <c r="C24" s="30">
        <f>IF(Pressupostos!F$10&lt;&gt;"",C6+C12-C18,"")</f>
        <v>10416.666666666666</v>
      </c>
      <c r="D24" s="30">
        <f>IF(Pressupostos!G$10&lt;&gt;"",D6+D12-D18,"")</f>
        <v>15208.333333333334</v>
      </c>
      <c r="E24" s="30" t="str">
        <f>IF(Pressupostos!H$10&lt;&gt;"",E6+E12-E18,"")</f>
        <v/>
      </c>
      <c r="F24" s="30" t="str">
        <f>IF(Pressupostos!I$10&lt;&gt;"",F6+F12-F18,"")</f>
        <v/>
      </c>
      <c r="G24" s="30" t="str">
        <f>IF(Pressupostos!J$10&lt;&gt;"",G6+G12-G18,"")</f>
        <v/>
      </c>
      <c r="H24" s="30" t="str">
        <f>IF(Pressupostos!K$10&lt;&gt;"",H6+H12-H18,"")</f>
        <v/>
      </c>
      <c r="I24" s="30" t="str">
        <f>IF(Pressupostos!L$10&lt;&gt;"",I6+I12-I18,"")</f>
        <v/>
      </c>
      <c r="J24" s="30" t="str">
        <f>IF(Pressupostos!M$10&lt;&gt;"",J6+J12-J18,"")</f>
        <v/>
      </c>
      <c r="K24" s="30" t="str">
        <f>IF(Pressupostos!N$10&lt;&gt;"",K6+K12-K18,"")</f>
        <v/>
      </c>
      <c r="L24" s="30" t="str">
        <f>IF(Pressupostos!O$10&lt;&gt;"",L6+L12-L18,"")</f>
        <v/>
      </c>
      <c r="M24" s="30" t="str">
        <f>IF(Pressupostos!P$10&lt;&gt;"",M6+M12-M18,"")</f>
        <v/>
      </c>
      <c r="N24" s="30" t="str">
        <f>IF(Pressupostos!Q$10&lt;&gt;"",N6+N12-N18,"")</f>
        <v/>
      </c>
      <c r="O24" s="30" t="str">
        <f>IF(Pressupostos!R$10&lt;&gt;"",O6+O12-O18,"")</f>
        <v/>
      </c>
      <c r="P24" s="30" t="str">
        <f>IF(Pressupostos!S$10&lt;&gt;"",P6+P12-P18,"")</f>
        <v/>
      </c>
      <c r="Q24" s="30" t="str">
        <f>IF(Pressupostos!T$10&lt;&gt;"",Q6+Q12-Q18,"")</f>
        <v/>
      </c>
    </row>
    <row r="25" spans="2:17" ht="13.2">
      <c r="B25" s="28" t="s">
        <v>274</v>
      </c>
      <c r="C25" s="30"/>
      <c r="D25" s="30"/>
      <c r="E25" s="30"/>
      <c r="F25" s="30"/>
      <c r="G25" s="30"/>
      <c r="H25" s="30"/>
      <c r="I25" s="30"/>
      <c r="J25" s="30"/>
      <c r="K25" s="30"/>
    </row>
    <row r="26" spans="2:17" ht="13.2">
      <c r="B26" s="98" t="str">
        <f>B20</f>
        <v>Matérias-primas do Produto 1</v>
      </c>
      <c r="C26" s="30">
        <f>IF(Pressupostos!F$10&lt;&gt;"",C8+C14-C20,"")</f>
        <v>10416.666666666666</v>
      </c>
      <c r="D26" s="30">
        <f>IF(Pressupostos!G$10&lt;&gt;"",D8+D14-D20,"")</f>
        <v>15208.333333333334</v>
      </c>
      <c r="E26" s="30" t="str">
        <f>IF(Pressupostos!H$10&lt;&gt;"",E8+E14-E20,"")</f>
        <v/>
      </c>
      <c r="F26" s="30" t="str">
        <f>IF(Pressupostos!I$10&lt;&gt;"",F8+F14-F20,"")</f>
        <v/>
      </c>
      <c r="G26" s="30" t="str">
        <f>IF(Pressupostos!J$10&lt;&gt;"",G8+G14-G20,"")</f>
        <v/>
      </c>
      <c r="H26" s="30" t="str">
        <f>IF(Pressupostos!K$10&lt;&gt;"",H8+H14-H20,"")</f>
        <v/>
      </c>
      <c r="I26" s="30" t="str">
        <f>IF(Pressupostos!L$10&lt;&gt;"",I8+I14-I20,"")</f>
        <v/>
      </c>
      <c r="J26" s="30" t="str">
        <f>IF(Pressupostos!M$10&lt;&gt;"",J8+J14-J20,"")</f>
        <v/>
      </c>
      <c r="K26" s="30" t="str">
        <f>IF(Pressupostos!N$10&lt;&gt;"",K8+K14-K20,"")</f>
        <v/>
      </c>
      <c r="L26" s="30" t="str">
        <f>IF(Pressupostos!O$10&lt;&gt;"",L8+L14-L20,"")</f>
        <v/>
      </c>
      <c r="M26" s="30" t="str">
        <f>IF(Pressupostos!P$10&lt;&gt;"",M8+M14-M20,"")</f>
        <v/>
      </c>
      <c r="N26" s="30" t="str">
        <f>IF(Pressupostos!Q$10&lt;&gt;"",N8+N14-N20,"")</f>
        <v/>
      </c>
      <c r="O26" s="30" t="str">
        <f>IF(Pressupostos!R$10&lt;&gt;"",O8+O14-O20,"")</f>
        <v/>
      </c>
      <c r="P26" s="30" t="str">
        <f>IF(Pressupostos!S$10&lt;&gt;"",P8+P14-P20,"")</f>
        <v/>
      </c>
      <c r="Q26" s="30" t="str">
        <f>IF(Pressupostos!T$10&lt;&gt;"",Q8+Q14-Q20,"")</f>
        <v/>
      </c>
    </row>
    <row r="27" spans="2:17" ht="13.2">
      <c r="B27" s="98" t="str">
        <f>B21</f>
        <v>Matérias-primas do Produto 2</v>
      </c>
      <c r="C27" s="30">
        <f>IF(Pressupostos!F$10&lt;&gt;"",C9+C15-C21,"")</f>
        <v>10416.666666666666</v>
      </c>
      <c r="D27" s="30">
        <f>IF(Pressupostos!G$10&lt;&gt;"",D9+D15-D21,"")</f>
        <v>15208.333333333334</v>
      </c>
      <c r="E27" s="30" t="str">
        <f>IF(Pressupostos!H$10&lt;&gt;"",E9+E15-E21,"")</f>
        <v/>
      </c>
      <c r="F27" s="30" t="str">
        <f>IF(Pressupostos!I$10&lt;&gt;"",F9+F15-F21,"")</f>
        <v/>
      </c>
      <c r="G27" s="30" t="str">
        <f>IF(Pressupostos!J$10&lt;&gt;"",G9+G15-G21,"")</f>
        <v/>
      </c>
      <c r="H27" s="30" t="str">
        <f>IF(Pressupostos!K$10&lt;&gt;"",H9+H15-H21,"")</f>
        <v/>
      </c>
      <c r="I27" s="30" t="str">
        <f>IF(Pressupostos!L$10&lt;&gt;"",I9+I15-I21,"")</f>
        <v/>
      </c>
      <c r="J27" s="30" t="str">
        <f>IF(Pressupostos!M$10&lt;&gt;"",J9+J15-J21,"")</f>
        <v/>
      </c>
      <c r="K27" s="30" t="str">
        <f>IF(Pressupostos!N$10&lt;&gt;"",K9+K15-K21,"")</f>
        <v/>
      </c>
      <c r="L27" s="30" t="str">
        <f>IF(Pressupostos!O$10&lt;&gt;"",L9+L15-L21,"")</f>
        <v/>
      </c>
      <c r="M27" s="30" t="str">
        <f>IF(Pressupostos!P$10&lt;&gt;"",M9+M15-M21,"")</f>
        <v/>
      </c>
      <c r="N27" s="30" t="str">
        <f>IF(Pressupostos!Q$10&lt;&gt;"",N9+N15-N21,"")</f>
        <v/>
      </c>
      <c r="O27" s="30" t="str">
        <f>IF(Pressupostos!R$10&lt;&gt;"",O9+O15-O21,"")</f>
        <v/>
      </c>
      <c r="P27" s="30" t="str">
        <f>IF(Pressupostos!S$10&lt;&gt;"",P9+P15-P21,"")</f>
        <v/>
      </c>
      <c r="Q27" s="30" t="str">
        <f>IF(Pressupostos!T$10&lt;&gt;"",Q9+Q15-Q21,"")</f>
        <v/>
      </c>
    </row>
    <row r="28" spans="2:17" ht="13.2"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</row>
    <row r="30" spans="2:17" ht="13.2">
      <c r="B30" s="101" t="s">
        <v>278</v>
      </c>
      <c r="C30" s="24"/>
      <c r="D30" s="24"/>
      <c r="E30" s="24"/>
      <c r="F30" s="24"/>
      <c r="G30" s="24"/>
      <c r="H30" s="24"/>
      <c r="I30" s="24"/>
      <c r="J30" s="24"/>
      <c r="K30" s="24"/>
    </row>
    <row r="31" spans="2:17" ht="13.2">
      <c r="B31" s="26" t="s">
        <v>15</v>
      </c>
      <c r="C31" s="26">
        <f>IF(Pressupostos!F$10&lt;&gt;"",Pressupostos!F$10,"")</f>
        <v>2024</v>
      </c>
      <c r="D31" s="26">
        <f>IF(Pressupostos!G$10&lt;&gt;"",Pressupostos!G$10,"")</f>
        <v>2025</v>
      </c>
      <c r="E31" s="26" t="str">
        <f>IF(Pressupostos!H$10&lt;&gt;"",Pressupostos!H$10,"")</f>
        <v/>
      </c>
      <c r="F31" s="26" t="str">
        <f>IF(Pressupostos!I$10&lt;&gt;"",Pressupostos!I$10,"")</f>
        <v/>
      </c>
      <c r="G31" s="26" t="str">
        <f>IF(Pressupostos!J$10&lt;&gt;"",Pressupostos!J$10,"")</f>
        <v/>
      </c>
      <c r="H31" s="26" t="str">
        <f>IF(Pressupostos!K$10&lt;&gt;"",Pressupostos!K$10,"")</f>
        <v/>
      </c>
      <c r="I31" s="26" t="str">
        <f>IF(Pressupostos!L$10&lt;&gt;"",Pressupostos!L$10,"")</f>
        <v/>
      </c>
      <c r="J31" s="26" t="str">
        <f>IF(Pressupostos!M$10&lt;&gt;"",Pressupostos!M$10,"")</f>
        <v/>
      </c>
      <c r="K31" s="26" t="str">
        <f>IF(Pressupostos!N$10&lt;&gt;"",Pressupostos!N$10,"")</f>
        <v/>
      </c>
      <c r="L31" s="26" t="str">
        <f>IF(Pressupostos!O$10&lt;&gt;"",Pressupostos!O$10,"")</f>
        <v/>
      </c>
      <c r="M31" s="26" t="str">
        <f>IF(Pressupostos!P$10&lt;&gt;"",Pressupostos!P$10,"")</f>
        <v/>
      </c>
      <c r="N31" s="26" t="str">
        <f>IF(Pressupostos!Q$10&lt;&gt;"",Pressupostos!Q$10,"")</f>
        <v/>
      </c>
      <c r="O31" s="26" t="str">
        <f>IF(Pressupostos!R$10&lt;&gt;"",Pressupostos!R$10,"")</f>
        <v/>
      </c>
      <c r="P31" s="26" t="str">
        <f>IF(Pressupostos!S$10&lt;&gt;"",Pressupostos!S$10,"")</f>
        <v/>
      </c>
      <c r="Q31" s="26" t="str">
        <f>IF(Pressupostos!T$10&lt;&gt;"",Pressupostos!T$10,"")</f>
        <v/>
      </c>
    </row>
    <row r="32" spans="2:17" ht="13.2">
      <c r="B32" s="96" t="s">
        <v>279</v>
      </c>
      <c r="C32" s="97"/>
      <c r="D32" s="97"/>
      <c r="E32" s="97"/>
      <c r="F32" s="97"/>
      <c r="G32" s="97"/>
      <c r="H32" s="97"/>
      <c r="I32" s="97"/>
      <c r="J32" s="97"/>
      <c r="K32" s="97"/>
    </row>
    <row r="33" spans="2:17" ht="13.2">
      <c r="B33" s="98" t="s">
        <v>280</v>
      </c>
      <c r="C33" s="30"/>
      <c r="D33" s="30">
        <f>IF(Pressupostos!G$10&lt;&gt;"",C34,"")</f>
        <v>12500</v>
      </c>
      <c r="E33" s="30" t="str">
        <f>IF(Pressupostos!H$10&lt;&gt;"",D34,"")</f>
        <v/>
      </c>
      <c r="F33" s="30" t="str">
        <f>IF(Pressupostos!I$10&lt;&gt;"",E34,"")</f>
        <v/>
      </c>
      <c r="G33" s="30" t="str">
        <f>IF(Pressupostos!J$10&lt;&gt;"",F34,"")</f>
        <v/>
      </c>
      <c r="H33" s="30" t="str">
        <f>IF(Pressupostos!K$10&lt;&gt;"",G34,"")</f>
        <v/>
      </c>
      <c r="I33" s="30" t="str">
        <f>IF(Pressupostos!L$10&lt;&gt;"",H34,"")</f>
        <v/>
      </c>
      <c r="J33" s="30" t="str">
        <f>IF(Pressupostos!M$10&lt;&gt;"",I34,"")</f>
        <v/>
      </c>
      <c r="K33" s="30" t="str">
        <f>IF(Pressupostos!N$10&lt;&gt;"",J34,"")</f>
        <v/>
      </c>
      <c r="L33" s="30" t="str">
        <f>IF(Pressupostos!O$10&lt;&gt;"",K34,"")</f>
        <v/>
      </c>
      <c r="M33" s="30" t="str">
        <f>IF(Pressupostos!P$10&lt;&gt;"",L34,"")</f>
        <v/>
      </c>
      <c r="N33" s="30" t="str">
        <f>IF(Pressupostos!Q$10&lt;&gt;"",M34,"")</f>
        <v/>
      </c>
      <c r="O33" s="30" t="str">
        <f>IF(Pressupostos!R$10&lt;&gt;"",N34,"")</f>
        <v/>
      </c>
      <c r="P33" s="30" t="str">
        <f>IF(Pressupostos!S$10&lt;&gt;"",O34,"")</f>
        <v/>
      </c>
      <c r="Q33" s="30" t="str">
        <f>IF(Pressupostos!T$10&lt;&gt;"",P34,"")</f>
        <v/>
      </c>
    </row>
    <row r="34" spans="2:17" ht="13.2">
      <c r="B34" s="98" t="s">
        <v>281</v>
      </c>
      <c r="C34" s="30">
        <f>IF(Pressupostos!F$10&lt;&gt;"",DR!C4/12*Pressupostos!$D$127,"")</f>
        <v>12500</v>
      </c>
      <c r="D34" s="30">
        <f>IF(Pressupostos!G$10&lt;&gt;"",DR!D4/12*Pressupostos!$D$127,"")</f>
        <v>18750</v>
      </c>
      <c r="E34" s="30" t="str">
        <f>IF(Pressupostos!H$10&lt;&gt;"",DR!E4/12*Pressupostos!$D$127,"")</f>
        <v/>
      </c>
      <c r="F34" s="30" t="str">
        <f>IF(Pressupostos!I$10&lt;&gt;"",DR!F4/12*Pressupostos!$D$127,"")</f>
        <v/>
      </c>
      <c r="G34" s="30" t="str">
        <f>IF(Pressupostos!J$10&lt;&gt;"",DR!G4/12*Pressupostos!$D$127,"")</f>
        <v/>
      </c>
      <c r="H34" s="30" t="str">
        <f>IF(Pressupostos!K$10&lt;&gt;"",DR!H4/12*Pressupostos!$D$127,"")</f>
        <v/>
      </c>
      <c r="I34" s="30" t="str">
        <f>IF(Pressupostos!L$10&lt;&gt;"",DR!I4/12*Pressupostos!$D$127,"")</f>
        <v/>
      </c>
      <c r="J34" s="30" t="str">
        <f>IF(Pressupostos!M$10&lt;&gt;"",DR!J4/12*Pressupostos!$D$127,"")</f>
        <v/>
      </c>
      <c r="K34" s="30" t="str">
        <f>IF(Pressupostos!N$10&lt;&gt;"",DR!K4/12*Pressupostos!$D$127,"")</f>
        <v/>
      </c>
      <c r="L34" s="30" t="str">
        <f>IF(Pressupostos!O$10&lt;&gt;"",DR!L4/12*Pressupostos!$D$127,"")</f>
        <v/>
      </c>
      <c r="M34" s="30" t="str">
        <f>IF(Pressupostos!P$10&lt;&gt;"",DR!M4/12*Pressupostos!$D$127,"")</f>
        <v/>
      </c>
      <c r="N34" s="30" t="str">
        <f>IF(Pressupostos!Q$10&lt;&gt;"",DR!N4/12*Pressupostos!$D$127,"")</f>
        <v/>
      </c>
      <c r="O34" s="30" t="str">
        <f>IF(Pressupostos!R$10&lt;&gt;"",DR!O4/12*Pressupostos!$D$127,"")</f>
        <v/>
      </c>
      <c r="P34" s="30" t="str">
        <f>IF(Pressupostos!S$10&lt;&gt;"",DR!P4/12*Pressupostos!$D$127,"")</f>
        <v/>
      </c>
      <c r="Q34" s="30" t="str">
        <f>IF(Pressupostos!T$10&lt;&gt;"",DR!Q4/12*Pressupostos!$D$127,"")</f>
        <v/>
      </c>
    </row>
    <row r="35" spans="2:17" ht="13.2">
      <c r="B35" s="99" t="s">
        <v>279</v>
      </c>
      <c r="C35" s="74">
        <f>IF(Pressupostos!F$10&lt;&gt;"",C34-C33,"")</f>
        <v>12500</v>
      </c>
      <c r="D35" s="74">
        <f>IF(Pressupostos!G$10&lt;&gt;"",D34-D33,"")</f>
        <v>6250</v>
      </c>
      <c r="E35" s="74" t="str">
        <f>IF(Pressupostos!H$10&lt;&gt;"",E34-E33,"")</f>
        <v/>
      </c>
      <c r="F35" s="74" t="str">
        <f>IF(Pressupostos!I$10&lt;&gt;"",F34-F33,"")</f>
        <v/>
      </c>
      <c r="G35" s="74" t="str">
        <f>IF(Pressupostos!J$10&lt;&gt;"",G34-G33,"")</f>
        <v/>
      </c>
      <c r="H35" s="74" t="str">
        <f>IF(Pressupostos!K$10&lt;&gt;"",H34-H33,"")</f>
        <v/>
      </c>
      <c r="I35" s="74" t="str">
        <f>IF(Pressupostos!L$10&lt;&gt;"",I34-I33,"")</f>
        <v/>
      </c>
      <c r="J35" s="74" t="str">
        <f>IF(Pressupostos!M$10&lt;&gt;"",J34-J33,"")</f>
        <v/>
      </c>
      <c r="K35" s="74" t="str">
        <f>IF(Pressupostos!N$10&lt;&gt;"",K34-K33,"")</f>
        <v/>
      </c>
      <c r="L35" s="74" t="str">
        <f>IF(Pressupostos!O$10&lt;&gt;"",L34-L33,"")</f>
        <v/>
      </c>
      <c r="M35" s="74" t="str">
        <f>IF(Pressupostos!P$10&lt;&gt;"",M34-M33,"")</f>
        <v/>
      </c>
      <c r="N35" s="74" t="str">
        <f>IF(Pressupostos!Q$10&lt;&gt;"",N34-N33,"")</f>
        <v/>
      </c>
      <c r="O35" s="74" t="str">
        <f>IF(Pressupostos!R$10&lt;&gt;"",O34-O33,"")</f>
        <v/>
      </c>
      <c r="P35" s="74" t="str">
        <f>IF(Pressupostos!S$10&lt;&gt;"",P34-P33,"")</f>
        <v/>
      </c>
      <c r="Q35" s="74" t="str">
        <f>IF(Pressupostos!T$10&lt;&gt;"",Q34-Q33,"")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58C6-693A-4D4F-BB24-58806356D175}">
  <dimension ref="A1:Q26"/>
  <sheetViews>
    <sheetView showGridLines="0" zoomScale="130" zoomScaleNormal="130" workbookViewId="0">
      <selection activeCell="C7" sqref="C7"/>
    </sheetView>
  </sheetViews>
  <sheetFormatPr defaultRowHeight="12"/>
  <cols>
    <col min="1" max="1" width="8.88671875" style="25"/>
    <col min="2" max="2" width="49" style="25" bestFit="1" customWidth="1"/>
    <col min="3" max="8" width="10.21875" style="25" customWidth="1"/>
    <col min="9" max="9" width="11.33203125" style="25" bestFit="1" customWidth="1"/>
    <col min="10" max="12" width="10.21875" style="25" customWidth="1"/>
    <col min="13" max="16384" width="8.88671875" style="25"/>
  </cols>
  <sheetData>
    <row r="1" spans="1:17" s="1" customFormat="1" ht="13.2">
      <c r="B1" s="2"/>
    </row>
    <row r="2" spans="1:17" ht="13.2">
      <c r="B2" s="101" t="s">
        <v>14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85"/>
      <c r="N2" s="85"/>
      <c r="O2" s="85"/>
      <c r="P2" s="85"/>
      <c r="Q2" s="85"/>
    </row>
    <row r="3" spans="1:17" s="27" customFormat="1" ht="13.2">
      <c r="B3" s="26" t="s">
        <v>15</v>
      </c>
      <c r="C3" s="26">
        <f>IF(Pressupostos!F10&lt;&gt;"",Pressupostos!F10,"")</f>
        <v>2024</v>
      </c>
      <c r="D3" s="26">
        <f>IF(Pressupostos!G10&lt;&gt;"",Pressupostos!G10,"")</f>
        <v>2025</v>
      </c>
      <c r="E3" s="26" t="str">
        <f>IF(Pressupostos!H10&lt;&gt;"",Pressupostos!H10,"")</f>
        <v/>
      </c>
      <c r="F3" s="26" t="str">
        <f>IF(Pressupostos!I10&lt;&gt;"",Pressupostos!I10,"")</f>
        <v/>
      </c>
      <c r="G3" s="26" t="str">
        <f>IF(Pressupostos!J10&lt;&gt;"",Pressupostos!J10,"")</f>
        <v/>
      </c>
      <c r="H3" s="26" t="str">
        <f>IF(Pressupostos!K10&lt;&gt;"",Pressupostos!K10,"")</f>
        <v/>
      </c>
      <c r="I3" s="26" t="str">
        <f>IF(Pressupostos!L10&lt;&gt;"",Pressupostos!L10,"")</f>
        <v/>
      </c>
      <c r="J3" s="26" t="str">
        <f>IF(Pressupostos!M10&lt;&gt;"",Pressupostos!M10,"")</f>
        <v/>
      </c>
      <c r="K3" s="26" t="str">
        <f>IF(Pressupostos!N10&lt;&gt;"",Pressupostos!N10,"")</f>
        <v/>
      </c>
      <c r="L3" s="26" t="str">
        <f>IF(Pressupostos!O10&lt;&gt;"",Pressupostos!O10,"")</f>
        <v/>
      </c>
      <c r="M3" s="26" t="str">
        <f>IF(Pressupostos!P10&lt;&gt;"",Pressupostos!P10,"")</f>
        <v/>
      </c>
      <c r="N3" s="26" t="str">
        <f>IF(Pressupostos!Q10&lt;&gt;"",Pressupostos!Q10,"")</f>
        <v/>
      </c>
      <c r="O3" s="26" t="str">
        <f>IF(Pressupostos!R10&lt;&gt;"",Pressupostos!R10,"")</f>
        <v/>
      </c>
      <c r="P3" s="26" t="str">
        <f>IF(Pressupostos!S10&lt;&gt;"",Pressupostos!S10,"")</f>
        <v/>
      </c>
      <c r="Q3" s="26" t="str">
        <f>IF(Pressupostos!T10&lt;&gt;"",Pressupostos!T10,"")</f>
        <v/>
      </c>
    </row>
    <row r="4" spans="1:17" s="27" customFormat="1" ht="13.2">
      <c r="B4" s="28" t="s">
        <v>16</v>
      </c>
      <c r="C4" s="29">
        <f>IF(Pressupostos!F$8=1,Pressupostos!F19*Pressupostos!F20+Pressupostos!F23*Pressupostos!F24+Pressupostos!F29*Pressupostos!F30+Pressupostos!F33*Pressupostos!F34+Pressupostos!F39*Pressupostos!F40+Pressupostos!F42*Pressupostos!F43,"")</f>
        <v>300000</v>
      </c>
      <c r="D4" s="29">
        <f>IF(Pressupostos!G$8=1,Pressupostos!G19*Pressupostos!G20+Pressupostos!G23*Pressupostos!G24+Pressupostos!G29*Pressupostos!G30+Pressupostos!G33*Pressupostos!G34+Pressupostos!G39*Pressupostos!G40+Pressupostos!G42*Pressupostos!G43,"")</f>
        <v>450000</v>
      </c>
      <c r="E4" s="29" t="str">
        <f>IF(Pressupostos!H$8=1,Pressupostos!H19*Pressupostos!H20+Pressupostos!H23*Pressupostos!H24+Pressupostos!H29*Pressupostos!H30+Pressupostos!H33*Pressupostos!H34+Pressupostos!H39*Pressupostos!H40+Pressupostos!H42*Pressupostos!H43,"")</f>
        <v/>
      </c>
      <c r="F4" s="29" t="str">
        <f>IF(Pressupostos!I$8=1,Pressupostos!I19*Pressupostos!I20+Pressupostos!I23*Pressupostos!I24+Pressupostos!I29*Pressupostos!I30+Pressupostos!I33*Pressupostos!I34+Pressupostos!I39*Pressupostos!I40+Pressupostos!I42*Pressupostos!I43,"")</f>
        <v/>
      </c>
      <c r="G4" s="29" t="str">
        <f>IF(Pressupostos!J$8=1,Pressupostos!J19*Pressupostos!J20+Pressupostos!J23*Pressupostos!J24+Pressupostos!J29*Pressupostos!J30+Pressupostos!J33*Pressupostos!J34+Pressupostos!J39*Pressupostos!J40+Pressupostos!J42*Pressupostos!J43,"")</f>
        <v/>
      </c>
      <c r="H4" s="29" t="str">
        <f>IF(Pressupostos!K$8=1,Pressupostos!K19*Pressupostos!K20+Pressupostos!K23*Pressupostos!K24+Pressupostos!K29+Pressupostos!K30+Pressupostos!K33*Pressupostos!K34+Pressupostos!K39*Pressupostos!K40+Pressupostos!K42*Pressupostos!K43,"")</f>
        <v/>
      </c>
      <c r="I4" s="29" t="str">
        <f>IF(Pressupostos!L$8=1,Pressupostos!L19*Pressupostos!L20+Pressupostos!L23*Pressupostos!L24+Pressupostos!L29+Pressupostos!L30+Pressupostos!L33*Pressupostos!L34+Pressupostos!L39*Pressupostos!L40+Pressupostos!L42*Pressupostos!L43,"")</f>
        <v/>
      </c>
      <c r="J4" s="29" t="str">
        <f>IF(Pressupostos!M$8=1,Pressupostos!M19*Pressupostos!M20+Pressupostos!M23*Pressupostos!M24+Pressupostos!M29+Pressupostos!M30+Pressupostos!M33*Pressupostos!M34+Pressupostos!M39*Pressupostos!M40+Pressupostos!M42*Pressupostos!M43,"")</f>
        <v/>
      </c>
      <c r="K4" s="29" t="str">
        <f>IF(Pressupostos!N$8=1,Pressupostos!N19*Pressupostos!N20+Pressupostos!N23*Pressupostos!N24+Pressupostos!N29+Pressupostos!N30+Pressupostos!N33*Pressupostos!N34+Pressupostos!N39*Pressupostos!N40+Pressupostos!N42*Pressupostos!N43,"")</f>
        <v/>
      </c>
      <c r="L4" s="29" t="str">
        <f>IF(Pressupostos!O$8=1,Pressupostos!O19*Pressupostos!O20+Pressupostos!O23*Pressupostos!O24+Pressupostos!O29+Pressupostos!O30+Pressupostos!O33*Pressupostos!O34+Pressupostos!O39*Pressupostos!O40+Pressupostos!O42*Pressupostos!O43,"")</f>
        <v/>
      </c>
      <c r="M4" s="29" t="str">
        <f>IF(Pressupostos!P$8=1,Pressupostos!P19*Pressupostos!P20+Pressupostos!P23*Pressupostos!P24+Pressupostos!P29+Pressupostos!P30+Pressupostos!P33*Pressupostos!P34+Pressupostos!P39*Pressupostos!P40+Pressupostos!P42*Pressupostos!P43,"")</f>
        <v/>
      </c>
      <c r="N4" s="29" t="str">
        <f>IF(Pressupostos!Q$8=1,Pressupostos!Q19*Pressupostos!Q20+Pressupostos!Q23*Pressupostos!Q24+Pressupostos!Q29+Pressupostos!Q30+Pressupostos!Q33*Pressupostos!Q34+Pressupostos!Q39*Pressupostos!Q40+Pressupostos!Q42*Pressupostos!Q43,"")</f>
        <v/>
      </c>
      <c r="O4" s="29" t="str">
        <f>IF(Pressupostos!R$8=1,Pressupostos!R19*Pressupostos!R20+Pressupostos!R23*Pressupostos!R24+Pressupostos!R29+Pressupostos!R30+Pressupostos!R33*Pressupostos!R34+Pressupostos!R39*Pressupostos!R40+Pressupostos!R42*Pressupostos!R43,"")</f>
        <v/>
      </c>
      <c r="P4" s="29" t="str">
        <f>IF(Pressupostos!S$8=1,Pressupostos!S19*Pressupostos!S20+Pressupostos!S23*Pressupostos!S24+Pressupostos!S29+Pressupostos!S30+Pressupostos!S33*Pressupostos!S34+Pressupostos!S39*Pressupostos!S40+Pressupostos!S42*Pressupostos!S43,"")</f>
        <v/>
      </c>
      <c r="Q4" s="29" t="str">
        <f>IF(Pressupostos!T$8=1,Pressupostos!T19*Pressupostos!T20+Pressupostos!T23*Pressupostos!T24+Pressupostos!T29+Pressupostos!T30+Pressupostos!T33*Pressupostos!T34+Pressupostos!T39*Pressupostos!T40+Pressupostos!T42*Pressupostos!T43,"")</f>
        <v/>
      </c>
    </row>
    <row r="5" spans="1:17" s="27" customFormat="1" ht="13.2">
      <c r="B5" s="28" t="s">
        <v>316</v>
      </c>
      <c r="C5" s="29">
        <f>Compras!C35</f>
        <v>12500</v>
      </c>
      <c r="D5" s="29">
        <f>Compras!D35</f>
        <v>6250</v>
      </c>
      <c r="E5" s="29" t="str">
        <f>Compras!E35</f>
        <v/>
      </c>
      <c r="F5" s="29" t="str">
        <f>Compras!F35</f>
        <v/>
      </c>
      <c r="G5" s="29" t="str">
        <f>Compras!G35</f>
        <v/>
      </c>
      <c r="H5" s="29" t="str">
        <f>Compras!H35</f>
        <v/>
      </c>
      <c r="I5" s="29" t="str">
        <f>Compras!I35</f>
        <v/>
      </c>
      <c r="J5" s="29" t="str">
        <f>Compras!J35</f>
        <v/>
      </c>
      <c r="K5" s="29" t="str">
        <f>Compras!K35</f>
        <v/>
      </c>
      <c r="L5" s="29" t="str">
        <f>Compras!L35</f>
        <v/>
      </c>
      <c r="M5" s="29" t="str">
        <f>Compras!M35</f>
        <v/>
      </c>
      <c r="N5" s="29" t="str">
        <f>Compras!N35</f>
        <v/>
      </c>
      <c r="O5" s="29" t="str">
        <f>Compras!O35</f>
        <v/>
      </c>
      <c r="P5" s="29" t="str">
        <f>Compras!P35</f>
        <v/>
      </c>
      <c r="Q5" s="29" t="str">
        <f>Compras!Q35</f>
        <v/>
      </c>
    </row>
    <row r="6" spans="1:17" s="27" customFormat="1" ht="13.2">
      <c r="B6" s="28" t="s">
        <v>34</v>
      </c>
      <c r="C6" s="29">
        <f>IF(Pressupostos!F$8=1,-SUM(Compras!C5:C6)-SUM(Compras!C8:C9),"")</f>
        <v>-130000</v>
      </c>
      <c r="D6" s="29">
        <f>IF(Pressupostos!G$8=1,-SUM(Compras!D5:D6)-SUM(Compras!D8:D9),"")</f>
        <v>-195000</v>
      </c>
      <c r="E6" s="29" t="str">
        <f>IF(Pressupostos!H$8=1,-SUM(Compras!E5:E6)-SUM(Compras!E8:E9),"")</f>
        <v/>
      </c>
      <c r="F6" s="29" t="str">
        <f>IF(Pressupostos!I$8=1,-SUM(Compras!F5:F6)-SUM(Compras!F8:F9),"")</f>
        <v/>
      </c>
      <c r="G6" s="29" t="str">
        <f>IF(Pressupostos!J$8=1,-SUM(Compras!G5:G6)-SUM(Compras!G8:G9),"")</f>
        <v/>
      </c>
      <c r="H6" s="29" t="str">
        <f>IF(Pressupostos!K$8=1,-SUM(Compras!H5:H6)-SUM(Compras!H8:H9),"")</f>
        <v/>
      </c>
      <c r="I6" s="29" t="str">
        <f>IF(Pressupostos!L$8=1,-SUM(Compras!I5:I6)-SUM(Compras!I8:I9),"")</f>
        <v/>
      </c>
      <c r="J6" s="29" t="str">
        <f>IF(Pressupostos!M$8=1,-SUM(Compras!J5:J6)-SUM(Compras!J8:J9),"")</f>
        <v/>
      </c>
      <c r="K6" s="29" t="str">
        <f>IF(Pressupostos!N$8=1,-SUM(Compras!K5:K6)-SUM(Compras!K8:K9),"")</f>
        <v/>
      </c>
      <c r="L6" s="29" t="str">
        <f>IF(Pressupostos!O$8=1,-SUM(Compras!L5:L6)-SUM(Compras!L8:L9),"")</f>
        <v/>
      </c>
      <c r="M6" s="29" t="str">
        <f>IF(Pressupostos!P$8=1,-SUM(Compras!M5:M6)-SUM(Compras!M8:M9),"")</f>
        <v/>
      </c>
      <c r="N6" s="29" t="str">
        <f>IF(Pressupostos!Q$8=1,-SUM(Compras!N5:N6)-SUM(Compras!N8:N9),"")</f>
        <v/>
      </c>
      <c r="O6" s="29" t="str">
        <f>IF(Pressupostos!R$8=1,-SUM(Compras!O5:O6)-SUM(Compras!O8:O9),"")</f>
        <v/>
      </c>
      <c r="P6" s="29" t="str">
        <f>IF(Pressupostos!S$8=1,-SUM(Compras!P5:P6)-SUM(Compras!P8:P9),"")</f>
        <v/>
      </c>
      <c r="Q6" s="29" t="str">
        <f>IF(Pressupostos!T$8=1,-SUM(Compras!Q5:Q6)-SUM(Compras!Q8:Q9),"")</f>
        <v/>
      </c>
    </row>
    <row r="7" spans="1:17" s="17" customFormat="1" ht="13.2">
      <c r="B7" s="17" t="s">
        <v>17</v>
      </c>
      <c r="C7" s="29">
        <f>IF(Pressupostos!F$8=1,-E83-SUM(Pressupostos!F52:F57)-SUM(Pressupostos!F59:F62)-SUM(Pressupostos!F64:F66)-SUM(Pressupostos!F68:F70)-SUM(Pressupostos!F72:F78)-Pressupostos!F80,"")</f>
        <v>-18041.760000000002</v>
      </c>
      <c r="D7" s="29">
        <f>IF(Pressupostos!G$8=1,-F83-SUM(Pressupostos!G52:G57)-SUM(Pressupostos!G59:G62)-SUM(Pressupostos!G64:G66)-SUM(Pressupostos!G68:G70)-SUM(Pressupostos!G72:G78)-Pressupostos!G80,"")</f>
        <v>-18402.595200000003</v>
      </c>
      <c r="E7" s="29" t="str">
        <f>IF(Pressupostos!H$8=1,-G83-SUM(Pressupostos!H52:H57)-SUM(Pressupostos!H59:H62)-SUM(Pressupostos!H64:H66)-SUM(Pressupostos!H68:H70)-SUM(Pressupostos!H72:H78)-Pressupostos!H80,"")</f>
        <v/>
      </c>
      <c r="F7" s="29" t="str">
        <f>IF(Pressupostos!I$8=1,-H83-SUM(Pressupostos!I52:I57)-SUM(Pressupostos!I59:I62)-SUM(Pressupostos!I64:I66)-SUM(Pressupostos!I68:I70)-SUM(Pressupostos!I72:I78)-Pressupostos!I80,"")</f>
        <v/>
      </c>
      <c r="G7" s="29" t="str">
        <f>IF(Pressupostos!J$8=1,-I83-SUM(Pressupostos!J52:J57)-SUM(Pressupostos!J59:J62)-SUM(Pressupostos!J64:J66)-SUM(Pressupostos!J68:J70)-SUM(Pressupostos!J72:J78)-Pressupostos!J80,"")</f>
        <v/>
      </c>
      <c r="H7" s="29" t="str">
        <f>IF(Pressupostos!K$8=1,-J83-SUM(Pressupostos!K52:K57)-SUM(Pressupostos!K59:K62)-SUM(Pressupostos!K64:K66)-SUM(Pressupostos!K68:K70)-SUM(Pressupostos!K72:K78)-Pressupostos!K80,"")</f>
        <v/>
      </c>
      <c r="I7" s="29" t="str">
        <f>IF(Pressupostos!L$8=1,-K83-SUM(Pressupostos!L52:L57)-SUM(Pressupostos!L59:L62)-SUM(Pressupostos!L64:L66)-SUM(Pressupostos!L68:L70)-SUM(Pressupostos!L72:L78)-Pressupostos!L80,"")</f>
        <v/>
      </c>
      <c r="J7" s="29" t="str">
        <f>IF(Pressupostos!M$8=1,-L83-SUM(Pressupostos!M52:M57)-SUM(Pressupostos!M59:M62)-SUM(Pressupostos!M64:M66)-SUM(Pressupostos!M68:M70)-SUM(Pressupostos!M72:M78)-Pressupostos!M80,"")</f>
        <v/>
      </c>
      <c r="K7" s="29" t="str">
        <f>IF(Pressupostos!N$8=1,-M83-SUM(Pressupostos!N52:N57)-SUM(Pressupostos!N59:N62)-SUM(Pressupostos!N64:N66)-SUM(Pressupostos!N68:N70)-SUM(Pressupostos!N72:N78)-Pressupostos!N80,"")</f>
        <v/>
      </c>
      <c r="L7" s="29" t="str">
        <f>IF(Pressupostos!O$8=1,-N83-SUM(Pressupostos!O52:O57)-SUM(Pressupostos!O59:O62)-SUM(Pressupostos!O64:O66)-SUM(Pressupostos!O68:O70)-SUM(Pressupostos!O72:O78)-Pressupostos!O80,"")</f>
        <v/>
      </c>
      <c r="M7" s="29" t="str">
        <f>IF(Pressupostos!P$8=1,-O83-SUM(Pressupostos!P52:P57)-SUM(Pressupostos!P59:P62)-SUM(Pressupostos!P64:P66)-SUM(Pressupostos!P68:P70)-SUM(Pressupostos!P72:P78)-Pressupostos!P80,"")</f>
        <v/>
      </c>
      <c r="N7" s="29" t="str">
        <f>IF(Pressupostos!Q$8=1,-P83-SUM(Pressupostos!Q52:Q57)-SUM(Pressupostos!Q59:Q62)-SUM(Pressupostos!Q64:Q66)-SUM(Pressupostos!Q68:Q70)-SUM(Pressupostos!Q72:Q78)-Pressupostos!Q80,"")</f>
        <v/>
      </c>
      <c r="O7" s="29" t="str">
        <f>IF(Pressupostos!R$8=1,-Q83-SUM(Pressupostos!R52:R57)-SUM(Pressupostos!R59:R62)-SUM(Pressupostos!R64:R66)-SUM(Pressupostos!R68:R70)-SUM(Pressupostos!R72:R78)-Pressupostos!R80,"")</f>
        <v/>
      </c>
      <c r="P7" s="29" t="str">
        <f>IF(Pressupostos!S$8=1,-R83-SUM(Pressupostos!S52:S57)-SUM(Pressupostos!S59:S62)-SUM(Pressupostos!S64:S66)-SUM(Pressupostos!S68:S70)-SUM(Pressupostos!S72:S78)-Pressupostos!S80,"")</f>
        <v/>
      </c>
      <c r="Q7" s="29" t="str">
        <f>IF(Pressupostos!T$8=1,-S83-SUM(Pressupostos!T52:T57)-SUM(Pressupostos!T59:T62)-SUM(Pressupostos!T64:T66)-SUM(Pressupostos!T68:T70)-SUM(Pressupostos!T72:T78)-Pressupostos!T80,"")</f>
        <v/>
      </c>
    </row>
    <row r="8" spans="1:17" s="17" customFormat="1" ht="13.2">
      <c r="B8" s="17" t="s">
        <v>18</v>
      </c>
      <c r="C8" s="29">
        <f>IF(Pressupostos!F$8=1,-SUM(Pressupostos!F96:F98)*(1+Pressupostos!$D$118)-Pressupostos!F101-Pressupostos!F104,"")</f>
        <v>-63805.5</v>
      </c>
      <c r="D8" s="29">
        <f>IF(Pressupostos!G$8=1,-SUM(Pressupostos!G96:G98)*(1+Pressupostos!$D$118)-Pressupostos!G101-Pressupostos!G104,"")</f>
        <v>-65081.61</v>
      </c>
      <c r="E8" s="29" t="str">
        <f>IF(Pressupostos!H$8=1,-SUM(Pressupostos!H96:H98)*(1+Pressupostos!$D$118)-Pressupostos!H101-Pressupostos!H104,"")</f>
        <v/>
      </c>
      <c r="F8" s="29" t="str">
        <f>IF(Pressupostos!I$8=1,-SUM(Pressupostos!I96:I98)*(1+Pressupostos!$D$118)-Pressupostos!I101-Pressupostos!I104,"")</f>
        <v/>
      </c>
      <c r="G8" s="29" t="str">
        <f>IF(Pressupostos!J$8=1,-SUM(Pressupostos!J96:J98)*(1+Pressupostos!$D$118)-Pressupostos!J101-Pressupostos!J104,"")</f>
        <v/>
      </c>
      <c r="H8" s="29" t="str">
        <f>IF(Pressupostos!K$8=1,-SUM(Pressupostos!K96:K98)*(1+Pressupostos!$D$118)-Pressupostos!K101-Pressupostos!K104,"")</f>
        <v/>
      </c>
      <c r="I8" s="29" t="str">
        <f>IF(Pressupostos!L$8=1,-SUM(Pressupostos!L96:L98)*(1+Pressupostos!$D$118)-Pressupostos!L101-Pressupostos!L104,"")</f>
        <v/>
      </c>
      <c r="J8" s="29" t="str">
        <f>IF(Pressupostos!M$8=1,-SUM(Pressupostos!M96:M98)*(1+Pressupostos!$D$118)-Pressupostos!M101-Pressupostos!M104,"")</f>
        <v/>
      </c>
      <c r="K8" s="29" t="str">
        <f>IF(Pressupostos!N$8=1,-SUM(Pressupostos!N96:N98)*(1+Pressupostos!$D$118)-Pressupostos!N101-Pressupostos!N104,"")</f>
        <v/>
      </c>
      <c r="L8" s="29" t="str">
        <f>IF(Pressupostos!O$8=1,-SUM(Pressupostos!O96:O98)*(1+Pressupostos!$D$118)-Pressupostos!O101-Pressupostos!O104,"")</f>
        <v/>
      </c>
      <c r="M8" s="29" t="str">
        <f>IF(Pressupostos!P$8=1,-SUM(Pressupostos!P96:P98)*(1+Pressupostos!$D$118)-Pressupostos!P101-Pressupostos!P104,"")</f>
        <v/>
      </c>
      <c r="N8" s="29" t="str">
        <f>IF(Pressupostos!Q$8=1,-SUM(Pressupostos!Q96:Q98)*(1+Pressupostos!$D$118)-Pressupostos!Q101-Pressupostos!Q104,"")</f>
        <v/>
      </c>
      <c r="O8" s="29" t="str">
        <f>IF(Pressupostos!R$8=1,-SUM(Pressupostos!R96:R98)*(1+Pressupostos!$D$118)-Pressupostos!R101-Pressupostos!R104,"")</f>
        <v/>
      </c>
      <c r="P8" s="29" t="str">
        <f>IF(Pressupostos!S$8=1,-SUM(Pressupostos!S96:S98)*(1+Pressupostos!$D$118)-Pressupostos!S101-Pressupostos!S104,"")</f>
        <v/>
      </c>
      <c r="Q8" s="29" t="str">
        <f>IF(Pressupostos!T$8=1,-SUM(Pressupostos!T96:T98)*(1+Pressupostos!$D$118)-Pressupostos!T101-Pressupostos!T104,"")</f>
        <v/>
      </c>
    </row>
    <row r="9" spans="1:17" s="17" customFormat="1" ht="13.2">
      <c r="B9" s="17" t="s">
        <v>292</v>
      </c>
      <c r="C9" s="29">
        <f>IF(Pressupostos!F$8=1,-Pressupostos!$D$109*DR!C4+Compras!C35,"")</f>
        <v>9500</v>
      </c>
      <c r="D9" s="29">
        <f>IF(Pressupostos!G$8=1,-Pressupostos!$D$109*DR!D4+Compras!D35,"")</f>
        <v>1750</v>
      </c>
      <c r="E9" s="29" t="str">
        <f>IF(Pressupostos!H$8=1,-Pressupostos!$D$109*DR!E4+Compras!E35,"")</f>
        <v/>
      </c>
      <c r="F9" s="29" t="str">
        <f>IF(Pressupostos!I$8=1,-Pressupostos!$D$109*DR!F4+Compras!F35,"")</f>
        <v/>
      </c>
      <c r="G9" s="29" t="str">
        <f>IF(Pressupostos!J$8=1,-Pressupostos!$D$109*DR!G4+Compras!G35,"")</f>
        <v/>
      </c>
      <c r="H9" s="29" t="str">
        <f>IF(Pressupostos!K$8=1,-Pressupostos!$D$109*DR!H4+Compras!H35,"")</f>
        <v/>
      </c>
      <c r="I9" s="29" t="str">
        <f>IF(Pressupostos!L$8=1,-Pressupostos!$D$109*DR!I4+Compras!I35,"")</f>
        <v/>
      </c>
      <c r="J9" s="29" t="str">
        <f>IF(Pressupostos!M$8=1,-Pressupostos!$D$109*DR!J4+Compras!J35,"")</f>
        <v/>
      </c>
      <c r="K9" s="29" t="str">
        <f>IF(Pressupostos!N$8=1,-Pressupostos!$D$109*DR!K4+Compras!K35,"")</f>
        <v/>
      </c>
      <c r="L9" s="29" t="str">
        <f>IF(Pressupostos!O$8=1,-Pressupostos!$D$109*DR!L4+Compras!L35,"")</f>
        <v/>
      </c>
      <c r="M9" s="29" t="str">
        <f>IF(Pressupostos!P$8=1,-Pressupostos!$D$109*DR!M4+Compras!M35,"")</f>
        <v/>
      </c>
      <c r="N9" s="29" t="str">
        <f>IF(Pressupostos!Q$8=1,-Pressupostos!$D$109*DR!N4+Compras!N35,"")</f>
        <v/>
      </c>
      <c r="O9" s="29" t="str">
        <f>IF(Pressupostos!R$8=1,-Pressupostos!$D$109*DR!O4+Compras!O35,"")</f>
        <v/>
      </c>
      <c r="P9" s="29" t="str">
        <f>IF(Pressupostos!S$8=1,-Pressupostos!$D$109*DR!P4+Compras!P35,"")</f>
        <v/>
      </c>
      <c r="Q9" s="29" t="str">
        <f>IF(Pressupostos!T$8=1,-Pressupostos!$D$109*DR!Q4+Compras!Q35,"")</f>
        <v/>
      </c>
    </row>
    <row r="10" spans="1:17" s="17" customFormat="1" ht="13.2">
      <c r="B10" s="31" t="s">
        <v>19</v>
      </c>
      <c r="C10" s="32">
        <f>IF(Pressupostos!F$8=1,SUM(C4:C9),"")</f>
        <v>110152.73999999999</v>
      </c>
      <c r="D10" s="32">
        <f>IF(Pressupostos!G$8=1,SUM(D4:D9),"")</f>
        <v>179515.79479999997</v>
      </c>
      <c r="E10" s="32" t="str">
        <f>IF(Pressupostos!H$8=1,SUM(E4:E9),"")</f>
        <v/>
      </c>
      <c r="F10" s="32" t="str">
        <f>IF(Pressupostos!I$8=1,SUM(F4:F9),"")</f>
        <v/>
      </c>
      <c r="G10" s="32" t="str">
        <f>IF(Pressupostos!J$8=1,SUM(G4:G9),"")</f>
        <v/>
      </c>
      <c r="H10" s="32" t="str">
        <f>IF(Pressupostos!K$8=1,SUM(H4:H9),"")</f>
        <v/>
      </c>
      <c r="I10" s="32" t="str">
        <f>IF(Pressupostos!L$8=1,SUM(I4:I9),"")</f>
        <v/>
      </c>
      <c r="J10" s="32" t="str">
        <f>IF(Pressupostos!M$8=1,SUM(J4:J9),"")</f>
        <v/>
      </c>
      <c r="K10" s="32" t="str">
        <f>IF(Pressupostos!N$8=1,SUM(K4:K9),"")</f>
        <v/>
      </c>
      <c r="L10" s="32" t="str">
        <f>IF(Pressupostos!O$8=1,SUM(L4:L9),"")</f>
        <v/>
      </c>
      <c r="M10" s="32" t="str">
        <f>IF(Pressupostos!P$8=1,SUM(M4:M9),"")</f>
        <v/>
      </c>
      <c r="N10" s="32" t="str">
        <f>IF(Pressupostos!Q$8=1,SUM(N4:N9),"")</f>
        <v/>
      </c>
      <c r="O10" s="32" t="str">
        <f>IF(Pressupostos!R$8=1,SUM(O4:O9),"")</f>
        <v/>
      </c>
      <c r="P10" s="32" t="str">
        <f>IF(Pressupostos!S$8=1,SUM(P4:P9),"")</f>
        <v/>
      </c>
      <c r="Q10" s="32" t="str">
        <f>IF(Pressupostos!T$8=1,SUM(Q4:Q9),"")</f>
        <v/>
      </c>
    </row>
    <row r="11" spans="1:17" s="17" customFormat="1" ht="13.2">
      <c r="B11" s="17" t="s">
        <v>20</v>
      </c>
      <c r="C11" s="29">
        <f>IF(Pressupostos!F$8=1,-SUM(Pressupostos!F252:F253),"")</f>
        <v>-33700</v>
      </c>
      <c r="D11" s="29">
        <f>IF(Pressupostos!G$8=1,-SUM(Pressupostos!G252:G253),"")</f>
        <v>-38200</v>
      </c>
      <c r="E11" s="29" t="str">
        <f>IF(Pressupostos!H$8=1,-SUM(Pressupostos!H252:H253),"")</f>
        <v/>
      </c>
      <c r="F11" s="29" t="str">
        <f>IF(Pressupostos!I$8=1,-SUM(Pressupostos!I252:I253),"")</f>
        <v/>
      </c>
      <c r="G11" s="29" t="str">
        <f>IF(Pressupostos!J$8=1,-SUM(Pressupostos!J252:J253),"")</f>
        <v/>
      </c>
      <c r="H11" s="29" t="str">
        <f>IF(Pressupostos!K$8=1,-SUM(Pressupostos!K252:K253),"")</f>
        <v/>
      </c>
      <c r="I11" s="29" t="str">
        <f>IF(Pressupostos!L$8=1,-SUM(Pressupostos!L252:L253),"")</f>
        <v/>
      </c>
      <c r="J11" s="29" t="str">
        <f>IF(Pressupostos!M$8=1,-SUM(Pressupostos!M252:M253),"")</f>
        <v/>
      </c>
      <c r="K11" s="29" t="str">
        <f>IF(Pressupostos!N$8=1,-SUM(Pressupostos!N252:N253),"")</f>
        <v/>
      </c>
      <c r="L11" s="29" t="str">
        <f>IF(Pressupostos!O$8=1,-SUM(Pressupostos!O252:O253),"")</f>
        <v/>
      </c>
      <c r="M11" s="29" t="str">
        <f>IF(Pressupostos!P$8=1,-SUM(Pressupostos!P252:P253),"")</f>
        <v/>
      </c>
      <c r="N11" s="29" t="str">
        <f>IF(Pressupostos!Q$8=1,-SUM(Pressupostos!Q252:Q253),"")</f>
        <v/>
      </c>
      <c r="O11" s="29" t="str">
        <f>IF(Pressupostos!R$8=1,-SUM(Pressupostos!R252:R253),"")</f>
        <v/>
      </c>
      <c r="P11" s="29" t="str">
        <f>IF(Pressupostos!S$8=1,-SUM(Pressupostos!S252:S253),"")</f>
        <v/>
      </c>
      <c r="Q11" s="29" t="str">
        <f>IF(Pressupostos!T$8=1,-SUM(Pressupostos!T252:T253),"")</f>
        <v/>
      </c>
    </row>
    <row r="12" spans="1:17" s="17" customFormat="1" ht="13.2">
      <c r="B12" s="31" t="s">
        <v>21</v>
      </c>
      <c r="C12" s="32">
        <f>IF(Pressupostos!F$8=1,C10+C11,"")</f>
        <v>76452.739999999991</v>
      </c>
      <c r="D12" s="32">
        <f>IF(Pressupostos!G$8=1,D10+D11,"")</f>
        <v>141315.79479999997</v>
      </c>
      <c r="E12" s="32" t="str">
        <f>IF(Pressupostos!H$8=1,E10+E11,"")</f>
        <v/>
      </c>
      <c r="F12" s="32" t="str">
        <f>IF(Pressupostos!I$8=1,F10+F11,"")</f>
        <v/>
      </c>
      <c r="G12" s="32" t="str">
        <f>IF(Pressupostos!J$8=1,G10+G11,"")</f>
        <v/>
      </c>
      <c r="H12" s="32" t="str">
        <f>IF(Pressupostos!K$8=1,H10+H11,"")</f>
        <v/>
      </c>
      <c r="I12" s="32" t="str">
        <f>IF(Pressupostos!L$8=1,I10+I11,"")</f>
        <v/>
      </c>
      <c r="J12" s="32" t="str">
        <f>IF(Pressupostos!M$8=1,J10+J11,"")</f>
        <v/>
      </c>
      <c r="K12" s="32" t="str">
        <f>IF(Pressupostos!N$8=1,K10+K11,"")</f>
        <v/>
      </c>
      <c r="L12" s="32" t="str">
        <f>IF(Pressupostos!O$8=1,L10+L11,"")</f>
        <v/>
      </c>
      <c r="M12" s="32" t="str">
        <f>IF(Pressupostos!P$8=1,M10+M11,"")</f>
        <v/>
      </c>
      <c r="N12" s="32" t="str">
        <f>IF(Pressupostos!Q$8=1,N10+N11,"")</f>
        <v/>
      </c>
      <c r="O12" s="32" t="str">
        <f>IF(Pressupostos!R$8=1,O10+O11,"")</f>
        <v/>
      </c>
      <c r="P12" s="32" t="str">
        <f>IF(Pressupostos!S$8=1,P10+P11,"")</f>
        <v/>
      </c>
      <c r="Q12" s="32" t="str">
        <f>IF(Pressupostos!T$8=1,Q10+Q11,"")</f>
        <v/>
      </c>
    </row>
    <row r="13" spans="1:17" s="17" customFormat="1" ht="13.2">
      <c r="B13" s="17" t="s">
        <v>22</v>
      </c>
      <c r="C13" s="30">
        <f>IF(Pressupostos!F$8=1,-Empréstimo!F201-Empréstimo!F202,"")</f>
        <v>-7896.2384845631877</v>
      </c>
      <c r="D13" s="30">
        <f>IF(Pressupostos!G$8=1,-Empréstimo!G201-Empréstimo!G202,"")</f>
        <v>-2524.9500309804616</v>
      </c>
      <c r="E13" s="30" t="str">
        <f>IF(Pressupostos!H$8=1,-Empréstimo!H201-Empréstimo!H202,"")</f>
        <v/>
      </c>
      <c r="F13" s="30" t="str">
        <f>IF(Pressupostos!I$8=1,-Empréstimo!I201-Empréstimo!I202,"")</f>
        <v/>
      </c>
      <c r="G13" s="30" t="str">
        <f>IF(Pressupostos!J$8=1,-Empréstimo!J201-Empréstimo!J202,"")</f>
        <v/>
      </c>
      <c r="H13" s="30" t="str">
        <f>IF(Pressupostos!K$8=1,-Empréstimo!K201-Empréstimo!K202,"")</f>
        <v/>
      </c>
      <c r="I13" s="30" t="str">
        <f>IF(Pressupostos!L$8=1,-Empréstimo!L201-Empréstimo!L202,"")</f>
        <v/>
      </c>
      <c r="J13" s="30" t="str">
        <f>IF(Pressupostos!M$8=1,-Empréstimo!M201-Empréstimo!M202,"")</f>
        <v/>
      </c>
      <c r="K13" s="30" t="str">
        <f>IF(Pressupostos!N$8=1,-Empréstimo!N201-Empréstimo!N202,"")</f>
        <v/>
      </c>
      <c r="L13" s="30" t="str">
        <f>IF(Pressupostos!O$8=1,-Empréstimo!O201-Empréstimo!O202,"")</f>
        <v/>
      </c>
      <c r="M13" s="30" t="str">
        <f>IF(Pressupostos!P$8=1,-Empréstimo!P201-Empréstimo!P202,"")</f>
        <v/>
      </c>
      <c r="N13" s="30" t="str">
        <f>IF(Pressupostos!Q$8=1,-Empréstimo!Q201-Empréstimo!Q202,"")</f>
        <v/>
      </c>
      <c r="O13" s="30" t="str">
        <f>IF(Pressupostos!R$8=1,-Empréstimo!R201-Empréstimo!R202,"")</f>
        <v/>
      </c>
      <c r="P13" s="30" t="str">
        <f>IF(Pressupostos!S$8=1,-Empréstimo!S201-Empréstimo!S202,"")</f>
        <v/>
      </c>
      <c r="Q13" s="30" t="str">
        <f>IF(Pressupostos!T$8=1,-Empréstimo!T201-Empréstimo!T202,"")</f>
        <v/>
      </c>
    </row>
    <row r="14" spans="1:17" s="17" customFormat="1" ht="13.2">
      <c r="B14" s="31" t="s">
        <v>23</v>
      </c>
      <c r="C14" s="32">
        <f>IF(Pressupostos!F$8=1,C12+C13,"")</f>
        <v>68556.501515436801</v>
      </c>
      <c r="D14" s="32">
        <f>IF(Pressupostos!G$8=1,D12+D13,"")</f>
        <v>138790.84476901952</v>
      </c>
      <c r="E14" s="32" t="str">
        <f>IF(Pressupostos!H$8=1,E12+E13,"")</f>
        <v/>
      </c>
      <c r="F14" s="32" t="str">
        <f>IF(Pressupostos!I$8=1,F12+F13,"")</f>
        <v/>
      </c>
      <c r="G14" s="32" t="str">
        <f>IF(Pressupostos!J$8=1,G12+G13,"")</f>
        <v/>
      </c>
      <c r="H14" s="32" t="str">
        <f>IF(Pressupostos!K$8=1,H12+H13,"")</f>
        <v/>
      </c>
      <c r="I14" s="32" t="str">
        <f>IF(Pressupostos!L$8=1,I12+I13,"")</f>
        <v/>
      </c>
      <c r="J14" s="32" t="str">
        <f>IF(Pressupostos!M$8=1,J12+J13,"")</f>
        <v/>
      </c>
      <c r="K14" s="32" t="str">
        <f>IF(Pressupostos!N$8=1,K12+K13,"")</f>
        <v/>
      </c>
      <c r="L14" s="32" t="str">
        <f>IF(Pressupostos!O$8=1,L12+L13,"")</f>
        <v/>
      </c>
      <c r="M14" s="32" t="str">
        <f>IF(Pressupostos!P$8=1,M12+M13,"")</f>
        <v/>
      </c>
      <c r="N14" s="32" t="str">
        <f>IF(Pressupostos!Q$8=1,N12+N13,"")</f>
        <v/>
      </c>
      <c r="O14" s="32" t="str">
        <f>IF(Pressupostos!R$8=1,O12+O13,"")</f>
        <v/>
      </c>
      <c r="P14" s="32" t="str">
        <f>IF(Pressupostos!S$8=1,P12+P13,"")</f>
        <v/>
      </c>
      <c r="Q14" s="32" t="str">
        <f>IF(Pressupostos!T$8=1,Q12+Q13,"")</f>
        <v/>
      </c>
    </row>
    <row r="15" spans="1:17" s="17" customFormat="1" ht="13.2">
      <c r="A15" s="17">
        <v>1</v>
      </c>
      <c r="B15" s="17" t="s">
        <v>24</v>
      </c>
      <c r="C15" s="30">
        <f>IF(Pressupostos!F$8=1,-C24,"")</f>
        <v>-15425.21284097328</v>
      </c>
      <c r="D15" s="30">
        <f>IF(Pressupostos!G$8=1,-D24,"")</f>
        <v>-31227.940073029389</v>
      </c>
      <c r="E15" s="30" t="str">
        <f>IF(Pressupostos!H$8=1,-E24,"")</f>
        <v/>
      </c>
      <c r="F15" s="30" t="str">
        <f>IF(Pressupostos!I$8=1,-F24,"")</f>
        <v/>
      </c>
      <c r="G15" s="30" t="str">
        <f>IF(Pressupostos!J$8=1,-G24,"")</f>
        <v/>
      </c>
      <c r="H15" s="30" t="str">
        <f>IF(Pressupostos!K$8=1,-H24,"")</f>
        <v/>
      </c>
      <c r="I15" s="30" t="str">
        <f>IF(Pressupostos!L$8=1,-I24,"")</f>
        <v/>
      </c>
      <c r="J15" s="30" t="str">
        <f>IF(Pressupostos!M$8=1,-J24,"")</f>
        <v/>
      </c>
      <c r="K15" s="30" t="str">
        <f>IF(Pressupostos!N$8=1,-K24,"")</f>
        <v/>
      </c>
      <c r="L15" s="30" t="str">
        <f>IF(Pressupostos!O$8=1,-L24,"")</f>
        <v/>
      </c>
      <c r="M15" s="30" t="str">
        <f>IF(Pressupostos!P$8=1,-M24,"")</f>
        <v/>
      </c>
      <c r="N15" s="30" t="str">
        <f>IF(Pressupostos!Q$8=1,-N24,"")</f>
        <v/>
      </c>
      <c r="O15" s="30" t="str">
        <f>IF(Pressupostos!R$8=1,-O24,"")</f>
        <v/>
      </c>
      <c r="P15" s="30" t="str">
        <f>IF(Pressupostos!S$8=1,-P24,"")</f>
        <v/>
      </c>
      <c r="Q15" s="30" t="str">
        <f>IF(Pressupostos!T$8=1,-Q24,"")</f>
        <v/>
      </c>
    </row>
    <row r="16" spans="1:17" s="17" customFormat="1" ht="13.2">
      <c r="B16" s="31" t="s">
        <v>25</v>
      </c>
      <c r="C16" s="32">
        <f>IF(Pressupostos!F$8=1,C14+C15,"")</f>
        <v>53131.288674463518</v>
      </c>
      <c r="D16" s="32">
        <f>IF(Pressupostos!G$8=1,D14+D15,"")</f>
        <v>107562.90469599013</v>
      </c>
      <c r="E16" s="32" t="str">
        <f>IF(Pressupostos!H$8=1,E14+E15,"")</f>
        <v/>
      </c>
      <c r="F16" s="32" t="str">
        <f>IF(Pressupostos!I$8=1,F14+F15,"")</f>
        <v/>
      </c>
      <c r="G16" s="32" t="str">
        <f>IF(Pressupostos!J$8=1,G14+G15,"")</f>
        <v/>
      </c>
      <c r="H16" s="32" t="str">
        <f>IF(Pressupostos!K$8=1,H14+H15,"")</f>
        <v/>
      </c>
      <c r="I16" s="32" t="str">
        <f>IF(Pressupostos!L$8=1,I14+I15,"")</f>
        <v/>
      </c>
      <c r="J16" s="32" t="str">
        <f>IF(Pressupostos!M$8=1,J14+J15,"")</f>
        <v/>
      </c>
      <c r="K16" s="32" t="str">
        <f>IF(Pressupostos!N$8=1,K14+K15,"")</f>
        <v/>
      </c>
      <c r="L16" s="32" t="str">
        <f>IF(Pressupostos!O$8=1,L14+L15,"")</f>
        <v/>
      </c>
      <c r="M16" s="32" t="str">
        <f>IF(Pressupostos!P$8=1,M14+M15,"")</f>
        <v/>
      </c>
      <c r="N16" s="32" t="str">
        <f>IF(Pressupostos!Q$8=1,N14+N15,"")</f>
        <v/>
      </c>
      <c r="O16" s="32" t="str">
        <f>IF(Pressupostos!R$8=1,O14+O15,"")</f>
        <v/>
      </c>
      <c r="P16" s="32" t="str">
        <f>IF(Pressupostos!S$8=1,P14+P15,"")</f>
        <v/>
      </c>
      <c r="Q16" s="32" t="str">
        <f>IF(Pressupostos!T$8=1,Q14+Q15,"")</f>
        <v/>
      </c>
    </row>
    <row r="17" spans="1:17" s="17" customFormat="1" ht="18" customHeight="1"/>
    <row r="18" spans="1:17" ht="18.600000000000001" customHeight="1">
      <c r="B18" s="17" t="s">
        <v>26</v>
      </c>
      <c r="C18" s="30">
        <f>IF(Pressupostos!F$8=1,IF(C14&lt;0,0,C14),"")</f>
        <v>68556.501515436801</v>
      </c>
      <c r="D18" s="30">
        <f>IF(Pressupostos!G$8=1,IF(D14&lt;0,0,D14),"")</f>
        <v>138790.84476901952</v>
      </c>
      <c r="E18" s="30" t="str">
        <f>IF(Pressupostos!H$8=1,IF(E14&lt;0,0,E14),"")</f>
        <v/>
      </c>
      <c r="F18" s="30" t="str">
        <f>IF(Pressupostos!I$8=1,IF(F14&lt;0,0,F14),"")</f>
        <v/>
      </c>
      <c r="G18" s="30" t="str">
        <f>IF(Pressupostos!J$8=1,IF(G14&lt;0,0,G14),"")</f>
        <v/>
      </c>
      <c r="H18" s="30" t="str">
        <f>IF(Pressupostos!K$8=1,IF(H14&lt;0,0,H14),"")</f>
        <v/>
      </c>
      <c r="I18" s="30" t="str">
        <f>IF(Pressupostos!L$8=1,IF(I14&lt;0,0,I14),"")</f>
        <v/>
      </c>
      <c r="J18" s="30" t="str">
        <f>IF(Pressupostos!M$8=1,IF(J14&lt;0,0,J14),"")</f>
        <v/>
      </c>
      <c r="K18" s="30" t="str">
        <f>IF(Pressupostos!N$8=1,IF(K14&lt;0,0,K14),"")</f>
        <v/>
      </c>
      <c r="L18" s="30" t="str">
        <f>IF(Pressupostos!O$8=1,IF(L14&lt;0,0,L14),"")</f>
        <v/>
      </c>
      <c r="M18" s="30" t="str">
        <f>IF(Pressupostos!P$8=1,IF(M14&lt;0,0,M14),"")</f>
        <v/>
      </c>
      <c r="N18" s="30" t="str">
        <f>IF(Pressupostos!Q$8=1,IF(N14&lt;0,0,N14),"")</f>
        <v/>
      </c>
      <c r="O18" s="30" t="str">
        <f>IF(Pressupostos!R$8=1,IF(O14&lt;0,0,O14),"")</f>
        <v/>
      </c>
      <c r="P18" s="30" t="str">
        <f>IF(Pressupostos!S$8=1,IF(P14&lt;0,0,P14),"")</f>
        <v/>
      </c>
      <c r="Q18" s="30" t="str">
        <f>IF(Pressupostos!T$8=1,IF(Q14&lt;0,0,Q14),"")</f>
        <v/>
      </c>
    </row>
    <row r="19" spans="1:17" ht="20.399999999999999" customHeight="1">
      <c r="B19" s="4" t="s">
        <v>27</v>
      </c>
      <c r="C19" s="14">
        <f>IF(Pressupostos!F$8=1,IF(C14&gt;0,0,C14),"")</f>
        <v>0</v>
      </c>
      <c r="D19" s="14">
        <f>IF(Pressupostos!G$8=1,IF(D14&gt;0,0,D14),"")</f>
        <v>0</v>
      </c>
      <c r="E19" s="14" t="str">
        <f>IF(Pressupostos!H$8=1,IF(E14&gt;0,0,E14),"")</f>
        <v/>
      </c>
      <c r="F19" s="14" t="str">
        <f>IF(Pressupostos!I$8=1,IF(F14&gt;0,0,F14),"")</f>
        <v/>
      </c>
      <c r="G19" s="14" t="str">
        <f>IF(Pressupostos!J$8=1,IF(G14&gt;0,0,G14),"")</f>
        <v/>
      </c>
      <c r="H19" s="14" t="str">
        <f>IF(Pressupostos!K$8=1,IF(H14&gt;0,0,H14),"")</f>
        <v/>
      </c>
      <c r="I19" s="14" t="str">
        <f>IF(Pressupostos!L$8=1,IF(I14&gt;0,0,I14),"")</f>
        <v/>
      </c>
      <c r="J19" s="14" t="str">
        <f>IF(Pressupostos!M$8=1,IF(J14&gt;0,0,J14),"")</f>
        <v/>
      </c>
      <c r="K19" s="14" t="str">
        <f>IF(Pressupostos!N$8=1,IF(K14&gt;0,0,K14),"")</f>
        <v/>
      </c>
      <c r="L19" s="14" t="str">
        <f>IF(Pressupostos!O$8=1,IF(L14&gt;0,0,L14),"")</f>
        <v/>
      </c>
      <c r="M19" s="14" t="str">
        <f>IF(Pressupostos!P$8=1,IF(M14&gt;0,0,M14),"")</f>
        <v/>
      </c>
      <c r="N19" s="14" t="str">
        <f>IF(Pressupostos!Q$8=1,IF(N14&gt;0,0,N14),"")</f>
        <v/>
      </c>
      <c r="O19" s="14" t="str">
        <f>IF(Pressupostos!R$8=1,IF(O14&gt;0,0,O14),"")</f>
        <v/>
      </c>
      <c r="P19" s="14" t="str">
        <f>IF(Pressupostos!S$8=1,IF(P14&gt;0,0,P14),"")</f>
        <v/>
      </c>
      <c r="Q19" s="14" t="str">
        <f>IF(Pressupostos!T$8=1,IF(Q14&gt;0,0,Q14),"")</f>
        <v/>
      </c>
    </row>
    <row r="20" spans="1:17" ht="18" customHeight="1">
      <c r="A20" s="25">
        <v>1</v>
      </c>
      <c r="B20" s="4" t="s">
        <v>28</v>
      </c>
      <c r="C20" s="14">
        <f>IF(Pressupostos!F$8=1,IF(C19&gt;0,0,C19),"")</f>
        <v>0</v>
      </c>
      <c r="D20" s="14">
        <f>IF(Pressupostos!G$8=1,IF((D19+C20+C22)&gt;0,0,D19+C20+C22),"")</f>
        <v>0</v>
      </c>
      <c r="E20" s="14" t="str">
        <f>IF(Pressupostos!H$8=1,IF((E19+D20+D22)&gt;0,0,E19+D20+D22),"")</f>
        <v/>
      </c>
      <c r="F20" s="14" t="str">
        <f>IF(Pressupostos!I$8=1,IF((F19+E20+E22)&gt;0,0,F19+E20+E22),"")</f>
        <v/>
      </c>
      <c r="G20" s="14" t="str">
        <f>IF(Pressupostos!J$8=1,IF((G19+F20+F22)&gt;0,0,G19+F20+F22),"")</f>
        <v/>
      </c>
      <c r="H20" s="14" t="str">
        <f>IF(Pressupostos!K$8=1,IF((H19+G20+G22)&gt;0,0,H19+G20+G22),"")</f>
        <v/>
      </c>
      <c r="I20" s="14" t="str">
        <f>IF(Pressupostos!L$8=1,IF((I19+H20+H22)&gt;0,0,I19+H20+H22),"")</f>
        <v/>
      </c>
      <c r="J20" s="14" t="str">
        <f>IF(Pressupostos!M$8=1,IF((J19+I20+I22)&gt;0,0,J19+I20+I22),"")</f>
        <v/>
      </c>
      <c r="K20" s="14" t="str">
        <f>IF(Pressupostos!N$8=1,IF((K19+J20+J22)&gt;0,0,K19+J20+J22),"")</f>
        <v/>
      </c>
      <c r="L20" s="14" t="str">
        <f>IF(Pressupostos!O$8=1,IF((L19+K20+K22)&gt;0,0,L19+K20+K22),"")</f>
        <v/>
      </c>
      <c r="M20" s="14" t="str">
        <f>IF(Pressupostos!P$8=1,IF((M19+L20+L22)&gt;0,0,M19+L20+L22),"")</f>
        <v/>
      </c>
      <c r="N20" s="14" t="str">
        <f>IF(Pressupostos!Q$8=1,IF((N19+M20+M22)&gt;0,0,N19+M20+M22),"")</f>
        <v/>
      </c>
      <c r="O20" s="14" t="str">
        <f>IF(Pressupostos!R$8=1,IF((O19+N20+N22)&gt;0,0,O19+N20+N22),"")</f>
        <v/>
      </c>
      <c r="P20" s="14" t="str">
        <f>IF(Pressupostos!S$8=1,IF((P19+O20+O22)&gt;0,0,P19+O20+O22),"")</f>
        <v/>
      </c>
      <c r="Q20" s="14" t="str">
        <f>IF(Pressupostos!T$8=1,IF((Q19+P20+P22)&gt;0,0,Q19+P20+P22),"")</f>
        <v/>
      </c>
    </row>
    <row r="21" spans="1:17" ht="21" customHeight="1">
      <c r="B21" s="4" t="s">
        <v>29</v>
      </c>
      <c r="C21" s="30">
        <f>IF(Pressupostos!F$8=1,IF(C18&gt;0,C18,0),"")</f>
        <v>68556.501515436801</v>
      </c>
      <c r="D21" s="30">
        <f>IF(Pressupostos!G$8=1,IF(D18&gt;0,D18,0),"")</f>
        <v>138790.84476901952</v>
      </c>
      <c r="E21" s="30" t="str">
        <f>IF(Pressupostos!H$8=1,IF(E18&gt;0,E18,0),"")</f>
        <v/>
      </c>
      <c r="F21" s="30" t="str">
        <f>IF(Pressupostos!I$8=1,IF(F18&gt;0,F18,0),"")</f>
        <v/>
      </c>
      <c r="G21" s="30" t="str">
        <f>IF(Pressupostos!J$8=1,IF(G18&gt;0,G18,0),"")</f>
        <v/>
      </c>
      <c r="H21" s="30" t="str">
        <f>IF(Pressupostos!K$8=1,IF(H18&gt;0,H18,0),"")</f>
        <v/>
      </c>
      <c r="I21" s="30" t="str">
        <f>IF(Pressupostos!L$8=1,IF(I18&gt;0,I18,0),"")</f>
        <v/>
      </c>
      <c r="J21" s="30" t="str">
        <f>IF(Pressupostos!M$8=1,IF(J18&gt;0,J18,0),"")</f>
        <v/>
      </c>
      <c r="K21" s="30" t="str">
        <f>IF(Pressupostos!N$8=1,IF(K18&gt;0,K18,0),"")</f>
        <v/>
      </c>
      <c r="L21" s="30" t="str">
        <f>IF(Pressupostos!O$8=1,IF(L18&gt;0,L18,0),"")</f>
        <v/>
      </c>
      <c r="M21" s="30" t="str">
        <f>IF(Pressupostos!P$8=1,IF(M18&gt;0,M18,0),"")</f>
        <v/>
      </c>
      <c r="N21" s="30" t="str">
        <f>IF(Pressupostos!Q$8=1,IF(N18&gt;0,N18,0),"")</f>
        <v/>
      </c>
      <c r="O21" s="30" t="str">
        <f>IF(Pressupostos!R$8=1,IF(O18&gt;0,O18,0),"")</f>
        <v/>
      </c>
      <c r="P21" s="30" t="str">
        <f>IF(Pressupostos!S$8=1,IF(P18&gt;0,P18,0),"")</f>
        <v/>
      </c>
      <c r="Q21" s="30" t="str">
        <f>IF(Pressupostos!T$8=1,IF(Q18&gt;0,Q18,0),"")</f>
        <v/>
      </c>
    </row>
    <row r="22" spans="1:17" ht="18" customHeight="1">
      <c r="B22" s="4" t="s">
        <v>30</v>
      </c>
      <c r="C22" s="30">
        <f>IF(Pressupostos!F$8=1,IF(C21&gt;0,MIN(-C20,C18),0),"")</f>
        <v>0</v>
      </c>
      <c r="D22" s="30">
        <f>IF(Pressupostos!G$8=1,IF(D21&gt;0,MIN(-D20,D18),0),"")</f>
        <v>0</v>
      </c>
      <c r="E22" s="30" t="str">
        <f>IF(Pressupostos!H$8=1,IF(E21&gt;0,MIN(-E20,E18),0),"")</f>
        <v/>
      </c>
      <c r="F22" s="30" t="str">
        <f>IF(Pressupostos!I$8=1,IF(F21&gt;0,MIN(-F20,F18),0),"")</f>
        <v/>
      </c>
      <c r="G22" s="30" t="str">
        <f>IF(Pressupostos!J$8=1,IF(G21&gt;0,MIN(-G20,G18),0),"")</f>
        <v/>
      </c>
      <c r="H22" s="30" t="str">
        <f>IF(Pressupostos!K$8=1,IF(H21&gt;0,MIN(-H20,H18),0),"")</f>
        <v/>
      </c>
      <c r="I22" s="30" t="str">
        <f>IF(Pressupostos!L$8=1,IF(I21&gt;0,MIN(-I20,I18),0),"")</f>
        <v/>
      </c>
      <c r="J22" s="30" t="str">
        <f>IF(Pressupostos!M$8=1,IF(J21&gt;0,MIN(-J20,J18),0),"")</f>
        <v/>
      </c>
      <c r="K22" s="30" t="str">
        <f>IF(Pressupostos!N$8=1,IF(K21&gt;0,MIN(-K20,K18),0),"")</f>
        <v/>
      </c>
      <c r="L22" s="30" t="str">
        <f>IF(Pressupostos!O$8=1,IF(L21&gt;0,MIN(-L20,L18),0),"")</f>
        <v/>
      </c>
      <c r="M22" s="30" t="str">
        <f>IF(Pressupostos!P$8=1,IF(M21&gt;0,MIN(-M20,M18),0),"")</f>
        <v/>
      </c>
      <c r="N22" s="30" t="str">
        <f>IF(Pressupostos!Q$8=1,IF(N21&gt;0,MIN(-N20,N18),0),"")</f>
        <v/>
      </c>
      <c r="O22" s="30" t="str">
        <f>IF(Pressupostos!R$8=1,IF(O21&gt;0,MIN(-O20,O18),0),"")</f>
        <v/>
      </c>
      <c r="P22" s="30" t="str">
        <f>IF(Pressupostos!S$8=1,IF(P21&gt;0,MIN(-P20,P18),0),"")</f>
        <v/>
      </c>
      <c r="Q22" s="30" t="str">
        <f>IF(Pressupostos!T$8=1,IF(Q21&gt;0,MIN(-Q20,Q18),0),"")</f>
        <v/>
      </c>
    </row>
    <row r="23" spans="1:17" ht="20.399999999999999" customHeight="1">
      <c r="B23" s="4" t="s">
        <v>31</v>
      </c>
      <c r="C23" s="30">
        <f>IF(Pressupostos!F$8=1,C18-C22,"")</f>
        <v>68556.501515436801</v>
      </c>
      <c r="D23" s="30">
        <f>IF(Pressupostos!G$8=1,D18-D22,"")</f>
        <v>138790.84476901952</v>
      </c>
      <c r="E23" s="30" t="str">
        <f>IF(Pressupostos!H$8=1,E18-E22,"")</f>
        <v/>
      </c>
      <c r="F23" s="30" t="str">
        <f>IF(Pressupostos!I$8=1,F18-F22,"")</f>
        <v/>
      </c>
      <c r="G23" s="30" t="str">
        <f>IF(Pressupostos!J$8=1,G18-G22,"")</f>
        <v/>
      </c>
      <c r="H23" s="30" t="str">
        <f>IF(Pressupostos!K$8=1,H18-H22,"")</f>
        <v/>
      </c>
      <c r="I23" s="30" t="str">
        <f>IF(Pressupostos!L$8=1,I18-I22,"")</f>
        <v/>
      </c>
      <c r="J23" s="30" t="str">
        <f>IF(Pressupostos!M$8=1,J18-J22,"")</f>
        <v/>
      </c>
      <c r="K23" s="30" t="str">
        <f>IF(Pressupostos!N$8=1,K18-K22,"")</f>
        <v/>
      </c>
      <c r="L23" s="30" t="str">
        <f>IF(Pressupostos!O$8=1,L18-L22,"")</f>
        <v/>
      </c>
      <c r="M23" s="30" t="str">
        <f>IF(Pressupostos!P$8=1,M18-M22,"")</f>
        <v/>
      </c>
      <c r="N23" s="30" t="str">
        <f>IF(Pressupostos!Q$8=1,N18-N22,"")</f>
        <v/>
      </c>
      <c r="O23" s="30" t="str">
        <f>IF(Pressupostos!R$8=1,O18-O22,"")</f>
        <v/>
      </c>
      <c r="P23" s="30" t="str">
        <f>IF(Pressupostos!S$8=1,P18-P22,"")</f>
        <v/>
      </c>
      <c r="Q23" s="30" t="str">
        <f>IF(Pressupostos!T$8=1,Q18-Q22,"")</f>
        <v/>
      </c>
    </row>
    <row r="24" spans="1:17" ht="18.600000000000001" customHeight="1">
      <c r="B24" s="4" t="s">
        <v>32</v>
      </c>
      <c r="C24" s="30">
        <f>IF(Pressupostos!F$8=1,C23*Pressupostos!$D$114+C18*Pressupostos!$D$115,"")</f>
        <v>15425.21284097328</v>
      </c>
      <c r="D24" s="30">
        <f>IF(Pressupostos!G$8=1,D23*Pressupostos!$D$114+D18*Pressupostos!$D$115,"")</f>
        <v>31227.940073029389</v>
      </c>
      <c r="E24" s="30" t="str">
        <f>IF(Pressupostos!H$8=1,E23*Pressupostos!$D$114+E18*Pressupostos!$D$115,"")</f>
        <v/>
      </c>
      <c r="F24" s="30" t="str">
        <f>IF(Pressupostos!I$8=1,F23*Pressupostos!$D$114+F18*Pressupostos!$D$115,"")</f>
        <v/>
      </c>
      <c r="G24" s="30" t="str">
        <f>IF(Pressupostos!J$8=1,G23*Pressupostos!$D$114+G18*Pressupostos!$D$115,"")</f>
        <v/>
      </c>
      <c r="H24" s="30" t="str">
        <f>IF(Pressupostos!K$8=1,H23*Pressupostos!$D$114+H18*Pressupostos!$D$115,"")</f>
        <v/>
      </c>
      <c r="I24" s="30" t="str">
        <f>IF(Pressupostos!L$8=1,I23*Pressupostos!$D$114+I18*Pressupostos!$D$115,"")</f>
        <v/>
      </c>
      <c r="J24" s="30" t="str">
        <f>IF(Pressupostos!M$8=1,J23*Pressupostos!$D$114+J18*Pressupostos!$D$115,"")</f>
        <v/>
      </c>
      <c r="K24" s="30" t="str">
        <f>IF(Pressupostos!N$8=1,K23*Pressupostos!$D$114+K18*Pressupostos!$D$115,"")</f>
        <v/>
      </c>
      <c r="L24" s="30" t="str">
        <f>IF(Pressupostos!O$8=1,L23*Pressupostos!$D$114+L18*Pressupostos!$D$115,"")</f>
        <v/>
      </c>
      <c r="M24" s="30" t="str">
        <f>IF(Pressupostos!P$8=1,M23*Pressupostos!$D$114+M18*Pressupostos!$D$115,"")</f>
        <v/>
      </c>
      <c r="N24" s="30" t="str">
        <f>IF(Pressupostos!Q$8=1,N23*Pressupostos!$D$114+N18*Pressupostos!$D$115,"")</f>
        <v/>
      </c>
      <c r="O24" s="30" t="str">
        <f>IF(Pressupostos!R$8=1,O23*Pressupostos!$D$114+O18*Pressupostos!$D$115,"")</f>
        <v/>
      </c>
      <c r="P24" s="30" t="str">
        <f>IF(Pressupostos!S$8=1,P23*Pressupostos!$D$114+P18*Pressupostos!$D$115,"")</f>
        <v/>
      </c>
      <c r="Q24" s="30" t="str">
        <f>IF(Pressupostos!T$8=1,Q23*Pressupostos!$D$114+Q18*Pressupostos!$D$115,"")</f>
        <v/>
      </c>
    </row>
    <row r="25" spans="1:17" ht="13.2">
      <c r="B25" s="19" t="s">
        <v>33</v>
      </c>
      <c r="C25" s="33">
        <f>IF(Pressupostos!F$8=1,-C15/C14,"")</f>
        <v>0.22499999999999998</v>
      </c>
      <c r="D25" s="33">
        <f>IF(Pressupostos!G$8=1,-D15/D14,"")</f>
        <v>0.22499999999999998</v>
      </c>
      <c r="E25" s="33" t="str">
        <f>IF(Pressupostos!H$8=1,-E15/E14,"")</f>
        <v/>
      </c>
      <c r="F25" s="33" t="str">
        <f>IF(Pressupostos!I$8=1,-F15/F14,"")</f>
        <v/>
      </c>
      <c r="G25" s="33" t="str">
        <f>IF(Pressupostos!J$8=1,-G15/G14,"")</f>
        <v/>
      </c>
      <c r="H25" s="33" t="str">
        <f>IF(Pressupostos!K$8=1,-H15/H14,"")</f>
        <v/>
      </c>
      <c r="I25" s="33" t="str">
        <f>IF(Pressupostos!L$8=1,-I15/I14,"")</f>
        <v/>
      </c>
      <c r="J25" s="33" t="str">
        <f>IF(Pressupostos!M$8=1,-J15/J14,"")</f>
        <v/>
      </c>
      <c r="K25" s="33" t="str">
        <f>IF(Pressupostos!N$8=1,-K15/K14,"")</f>
        <v/>
      </c>
      <c r="L25" s="33" t="str">
        <f>IF(Pressupostos!O$8=1,-L15/L14,"")</f>
        <v/>
      </c>
      <c r="M25" s="33" t="str">
        <f>IF(Pressupostos!P$8=1,-M15/M14,"")</f>
        <v/>
      </c>
      <c r="N25" s="33" t="str">
        <f>IF(Pressupostos!Q$8=1,-N15/N14,"")</f>
        <v/>
      </c>
      <c r="O25" s="33" t="str">
        <f>IF(Pressupostos!R$8=1,-O15/O14,"")</f>
        <v/>
      </c>
      <c r="P25" s="33" t="str">
        <f>IF(Pressupostos!S$8=1,-P15/P14,"")</f>
        <v/>
      </c>
      <c r="Q25" s="33" t="str">
        <f>IF(Pressupostos!T$8=1,-Q15/Q14,"")</f>
        <v/>
      </c>
    </row>
    <row r="26" spans="1:17">
      <c r="F26" s="34"/>
      <c r="G26" s="34"/>
      <c r="H26" s="34"/>
      <c r="I26" s="34"/>
    </row>
  </sheetData>
  <pageMargins left="0.7" right="0.7" top="0.75" bottom="0.75" header="0.3" footer="0.3"/>
  <pageSetup paperSize="9" orientation="portrait" r:id="rId1"/>
  <ignoredErrors>
    <ignoredError sqref="D15:Q15 E13:Q1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6DAB-408A-4529-B706-FAAF1DB9CBFE}">
  <dimension ref="B3:T394"/>
  <sheetViews>
    <sheetView showGridLines="0" topLeftCell="A6" workbookViewId="0">
      <selection activeCell="E15" sqref="E15"/>
    </sheetView>
  </sheetViews>
  <sheetFormatPr defaultRowHeight="12"/>
  <cols>
    <col min="1" max="1" width="8.88671875" style="25"/>
    <col min="2" max="4" width="11.21875" style="25" customWidth="1"/>
    <col min="5" max="14" width="9.21875" style="25" customWidth="1"/>
    <col min="15" max="16384" width="8.88671875" style="25"/>
  </cols>
  <sheetData>
    <row r="3" spans="2:12" s="17" customFormat="1" ht="13.2">
      <c r="B3" s="86" t="s">
        <v>238</v>
      </c>
      <c r="C3" s="86"/>
      <c r="D3" s="86"/>
      <c r="E3" s="87"/>
      <c r="F3" s="87"/>
      <c r="G3" s="87"/>
      <c r="H3" s="87"/>
      <c r="I3" s="87"/>
      <c r="J3" s="87"/>
      <c r="K3" s="87"/>
      <c r="L3" s="87"/>
    </row>
    <row r="4" spans="2:12" s="17" customFormat="1" ht="13.2"/>
    <row r="5" spans="2:12" s="17" customFormat="1" ht="13.2">
      <c r="B5" s="37" t="s">
        <v>156</v>
      </c>
      <c r="C5" s="37"/>
      <c r="D5" s="37"/>
      <c r="E5" s="30">
        <f>Pressupostos!F263</f>
        <v>173600</v>
      </c>
    </row>
    <row r="6" spans="2:12" s="17" customFormat="1" ht="13.2">
      <c r="B6" s="10" t="s">
        <v>157</v>
      </c>
      <c r="C6" s="10"/>
      <c r="D6" s="10"/>
      <c r="E6" s="52">
        <f>Pressupostos!E266</f>
        <v>0.05</v>
      </c>
    </row>
    <row r="7" spans="2:12" s="17" customFormat="1" ht="13.2">
      <c r="B7" s="10" t="s">
        <v>159</v>
      </c>
      <c r="C7" s="10"/>
      <c r="D7" s="10"/>
      <c r="E7" s="13" t="s">
        <v>179</v>
      </c>
      <c r="F7" s="4"/>
      <c r="G7" s="4"/>
      <c r="H7" s="4"/>
    </row>
    <row r="8" spans="2:12" s="17" customFormat="1" ht="13.2">
      <c r="B8" s="10" t="s">
        <v>158</v>
      </c>
      <c r="C8" s="10"/>
      <c r="D8" s="10"/>
      <c r="E8" s="3">
        <f>Pressupostos!F5</f>
        <v>2</v>
      </c>
      <c r="F8" s="4" t="s">
        <v>178</v>
      </c>
      <c r="G8" s="4"/>
      <c r="H8" s="4"/>
    </row>
    <row r="9" spans="2:12" s="17" customFormat="1" ht="13.2">
      <c r="B9" s="10" t="s">
        <v>176</v>
      </c>
      <c r="C9" s="10"/>
      <c r="D9" s="10"/>
      <c r="E9" s="15">
        <f>Pressupostos!E268</f>
        <v>5.0000000000000001E-3</v>
      </c>
      <c r="F9" s="4"/>
      <c r="G9" s="15"/>
      <c r="H9" s="4"/>
    </row>
    <row r="10" spans="2:12" s="17" customFormat="1" ht="13.2">
      <c r="B10" s="10" t="s">
        <v>177</v>
      </c>
      <c r="C10" s="10"/>
      <c r="D10" s="10"/>
      <c r="E10" s="15">
        <f>Pressupostos!E269</f>
        <v>0.04</v>
      </c>
      <c r="F10" s="4"/>
      <c r="G10" s="13"/>
      <c r="H10" s="4"/>
    </row>
    <row r="11" spans="2:12" s="17" customFormat="1" ht="13.2">
      <c r="B11" s="10" t="s">
        <v>180</v>
      </c>
      <c r="E11" s="61">
        <f>PMT(E6/12,E8*12,-E5,0,0)</f>
        <v>7616.0732578342822</v>
      </c>
    </row>
    <row r="12" spans="2:12" s="17" customFormat="1" ht="13.2"/>
    <row r="13" spans="2:12" s="17" customFormat="1" ht="26.4">
      <c r="B13" s="53" t="s">
        <v>160</v>
      </c>
      <c r="C13" s="53" t="s">
        <v>161</v>
      </c>
      <c r="D13" s="54" t="s">
        <v>162</v>
      </c>
      <c r="E13" s="53" t="s">
        <v>163</v>
      </c>
      <c r="F13" s="53" t="s">
        <v>164</v>
      </c>
      <c r="G13" s="53" t="s">
        <v>165</v>
      </c>
      <c r="H13" s="54" t="s">
        <v>166</v>
      </c>
      <c r="I13" s="54" t="s">
        <v>167</v>
      </c>
      <c r="J13" s="53" t="s">
        <v>168</v>
      </c>
      <c r="L13" s="18" t="s">
        <v>169</v>
      </c>
    </row>
    <row r="14" spans="2:12" s="17" customFormat="1" ht="13.2">
      <c r="B14" s="55">
        <v>0</v>
      </c>
      <c r="C14" s="56">
        <f>DATE(Pressupostos!F4-1,12,31)</f>
        <v>45291</v>
      </c>
      <c r="D14" s="44">
        <f>E5</f>
        <v>173600</v>
      </c>
      <c r="E14" s="55"/>
      <c r="F14" s="55"/>
      <c r="G14" s="55"/>
      <c r="H14" s="57">
        <f>E5*E9</f>
        <v>868</v>
      </c>
      <c r="I14" s="18"/>
      <c r="J14" s="44">
        <f>IF(ISNUMBER(B15)=TRUE,D14-G14-H14+I14,"")</f>
        <v>172732</v>
      </c>
      <c r="L14" s="18"/>
    </row>
    <row r="15" spans="2:12" s="17" customFormat="1" ht="13.2">
      <c r="B15" s="55">
        <f>IF(B14&lt;&gt;"",IF(B14+1&lt;=E$8*12,B14+1,""),"")</f>
        <v>1</v>
      </c>
      <c r="C15" s="56">
        <f>IF(ISNUMBER(B15)=TRUE,EOMONTH(C14,1),"")</f>
        <v>45322</v>
      </c>
      <c r="D15" s="44">
        <f>IF(ISNUMBER(B15)=TRUE,D14-F14,"")</f>
        <v>173600</v>
      </c>
      <c r="E15" s="44">
        <f>IF(ISNUMBER(B15)=TRUE,D15*$E$6/12,"")</f>
        <v>723.33333333333337</v>
      </c>
      <c r="F15" s="44">
        <f>IF(ISNUMBER(B15)=TRUE,G15-E15,"")</f>
        <v>6892.7399245009492</v>
      </c>
      <c r="G15" s="44">
        <f>IF(ISNUMBER(B15)=TRUE,$E$11,"")</f>
        <v>7616.0732578342822</v>
      </c>
      <c r="H15" s="44">
        <f>IF(ISNUMBER(B15)=TRUE,E15*$E$10,"")</f>
        <v>28.933333333333337</v>
      </c>
      <c r="I15" s="44">
        <f>IF(ISNUMBER(B15)=TRUE,(E15+H15+$H$14/($E$8*12))*L15,"")</f>
        <v>177.39749999999998</v>
      </c>
      <c r="J15" s="44">
        <f>IF(ISNUMBER(B15)=TRUE,-G15-H15+I15,"")</f>
        <v>-7467.6090911676156</v>
      </c>
      <c r="L15" s="52">
        <f>IF(ISNUMBER(B15)=TRUE,DR!C$25,"")</f>
        <v>0.22499999999999998</v>
      </c>
    </row>
    <row r="16" spans="2:12" s="17" customFormat="1" ht="13.2">
      <c r="B16" s="55">
        <f t="shared" ref="B16:B79" si="0">IF(B15&lt;&gt;"",IF(B15+1&lt;=E$8*12,B15+1,""),"")</f>
        <v>2</v>
      </c>
      <c r="C16" s="56">
        <f t="shared" ref="C16:C79" si="1">IF(ISNUMBER(B16)=TRUE,EOMONTH(C15,1),"")</f>
        <v>45351</v>
      </c>
      <c r="D16" s="44">
        <f t="shared" ref="D16:D79" si="2">IF(ISNUMBER(B16)=TRUE,D15-F15,"")</f>
        <v>166707.26007549904</v>
      </c>
      <c r="E16" s="44">
        <f t="shared" ref="E16:E79" si="3">IF(ISNUMBER(B16)=TRUE,D16*$E$6/12,"")</f>
        <v>694.61358364791261</v>
      </c>
      <c r="F16" s="44">
        <f t="shared" ref="F16:F79" si="4">IF(ISNUMBER(B16)=TRUE,G16-E16,"")</f>
        <v>6921.4596741863697</v>
      </c>
      <c r="G16" s="44">
        <f t="shared" ref="G16:G79" si="5">IF(ISNUMBER(B16)=TRUE,$E$11,"")</f>
        <v>7616.0732578342822</v>
      </c>
      <c r="H16" s="44">
        <f t="shared" ref="H16:H79" si="6">IF(ISNUMBER(B16)=TRUE,E16*$E$10,"")</f>
        <v>27.784543345916504</v>
      </c>
      <c r="I16" s="44">
        <f t="shared" ref="I16:I79" si="7">IF(ISNUMBER(B16)=TRUE,(E16+H16+$H$14/($E$8*12))*L16,"")</f>
        <v>170.67707857361154</v>
      </c>
      <c r="J16" s="44">
        <f t="shared" ref="J16:J79" si="8">IF(ISNUMBER(B16)=TRUE,-G16-H16+I16,"")</f>
        <v>-7473.1807226065866</v>
      </c>
      <c r="L16" s="52">
        <f>IF(ISNUMBER(B16)=TRUE,DR!C$25,"")</f>
        <v>0.22499999999999998</v>
      </c>
    </row>
    <row r="17" spans="2:12" s="17" customFormat="1" ht="13.2">
      <c r="B17" s="55">
        <f t="shared" si="0"/>
        <v>3</v>
      </c>
      <c r="C17" s="56">
        <f t="shared" si="1"/>
        <v>45382</v>
      </c>
      <c r="D17" s="44">
        <f t="shared" si="2"/>
        <v>159785.80040131268</v>
      </c>
      <c r="E17" s="44">
        <f t="shared" si="3"/>
        <v>665.77416833880284</v>
      </c>
      <c r="F17" s="44">
        <f t="shared" si="4"/>
        <v>6950.2990894954792</v>
      </c>
      <c r="G17" s="44">
        <f t="shared" si="5"/>
        <v>7616.0732578342822</v>
      </c>
      <c r="H17" s="44">
        <f t="shared" si="6"/>
        <v>26.630966733552114</v>
      </c>
      <c r="I17" s="44">
        <f t="shared" si="7"/>
        <v>163.92865539127985</v>
      </c>
      <c r="J17" s="44">
        <f t="shared" si="8"/>
        <v>-7478.7755691765542</v>
      </c>
      <c r="L17" s="52">
        <f>IF(ISNUMBER(B17)=TRUE,DR!C$25,"")</f>
        <v>0.22499999999999998</v>
      </c>
    </row>
    <row r="18" spans="2:12" s="17" customFormat="1" ht="13.2">
      <c r="B18" s="55">
        <f t="shared" si="0"/>
        <v>4</v>
      </c>
      <c r="C18" s="56">
        <f t="shared" si="1"/>
        <v>45412</v>
      </c>
      <c r="D18" s="44">
        <f t="shared" si="2"/>
        <v>152835.50131181721</v>
      </c>
      <c r="E18" s="44">
        <f t="shared" si="3"/>
        <v>636.81458879923832</v>
      </c>
      <c r="F18" s="44">
        <f t="shared" si="4"/>
        <v>6979.2586690350436</v>
      </c>
      <c r="G18" s="44">
        <f t="shared" si="5"/>
        <v>7616.0732578342822</v>
      </c>
      <c r="H18" s="44">
        <f t="shared" si="6"/>
        <v>25.472583551969535</v>
      </c>
      <c r="I18" s="44">
        <f t="shared" si="7"/>
        <v>157.15211377902173</v>
      </c>
      <c r="J18" s="44">
        <f t="shared" si="8"/>
        <v>-7484.3937276072302</v>
      </c>
      <c r="L18" s="52">
        <f>IF(ISNUMBER(B18)=TRUE,DR!C$25,"")</f>
        <v>0.22499999999999998</v>
      </c>
    </row>
    <row r="19" spans="2:12" s="17" customFormat="1" ht="13.2">
      <c r="B19" s="55">
        <f t="shared" si="0"/>
        <v>5</v>
      </c>
      <c r="C19" s="56">
        <f t="shared" si="1"/>
        <v>45443</v>
      </c>
      <c r="D19" s="44">
        <f t="shared" si="2"/>
        <v>145856.24264278216</v>
      </c>
      <c r="E19" s="44">
        <f t="shared" si="3"/>
        <v>607.73434434492572</v>
      </c>
      <c r="F19" s="44">
        <f t="shared" si="4"/>
        <v>7008.3389134893569</v>
      </c>
      <c r="G19" s="44">
        <f t="shared" si="5"/>
        <v>7616.0732578342822</v>
      </c>
      <c r="H19" s="44">
        <f t="shared" si="6"/>
        <v>24.309373773797031</v>
      </c>
      <c r="I19" s="44">
        <f t="shared" si="7"/>
        <v>150.34733657671259</v>
      </c>
      <c r="J19" s="44">
        <f t="shared" si="8"/>
        <v>-7490.0352950313672</v>
      </c>
      <c r="L19" s="52">
        <f>IF(ISNUMBER(B19)=TRUE,DR!C$25,"")</f>
        <v>0.22499999999999998</v>
      </c>
    </row>
    <row r="20" spans="2:12" s="17" customFormat="1" ht="13.2">
      <c r="B20" s="55">
        <f t="shared" si="0"/>
        <v>6</v>
      </c>
      <c r="C20" s="56">
        <f t="shared" si="1"/>
        <v>45473</v>
      </c>
      <c r="D20" s="44">
        <f t="shared" si="2"/>
        <v>138847.9037292928</v>
      </c>
      <c r="E20" s="44">
        <f t="shared" si="3"/>
        <v>578.53293220538671</v>
      </c>
      <c r="F20" s="44">
        <f t="shared" si="4"/>
        <v>7037.5403256288955</v>
      </c>
      <c r="G20" s="44">
        <f t="shared" si="5"/>
        <v>7616.0732578342822</v>
      </c>
      <c r="H20" s="44">
        <f t="shared" si="6"/>
        <v>23.141317288215468</v>
      </c>
      <c r="I20" s="44">
        <f t="shared" si="7"/>
        <v>143.51420613606047</v>
      </c>
      <c r="J20" s="44">
        <f t="shared" si="8"/>
        <v>-7495.7003689864378</v>
      </c>
      <c r="L20" s="52">
        <f>IF(ISNUMBER(B20)=TRUE,DR!C$25,"")</f>
        <v>0.22499999999999998</v>
      </c>
    </row>
    <row r="21" spans="2:12" s="17" customFormat="1" ht="13.2">
      <c r="B21" s="55">
        <f t="shared" si="0"/>
        <v>7</v>
      </c>
      <c r="C21" s="56">
        <f t="shared" si="1"/>
        <v>45504</v>
      </c>
      <c r="D21" s="44">
        <f t="shared" si="2"/>
        <v>131810.36340366391</v>
      </c>
      <c r="E21" s="44">
        <f t="shared" si="3"/>
        <v>549.20984751526635</v>
      </c>
      <c r="F21" s="44">
        <f t="shared" si="4"/>
        <v>7066.8634103190161</v>
      </c>
      <c r="G21" s="44">
        <f t="shared" si="5"/>
        <v>7616.0732578342822</v>
      </c>
      <c r="H21" s="44">
        <f t="shared" si="6"/>
        <v>21.968393900610653</v>
      </c>
      <c r="I21" s="44">
        <f t="shared" si="7"/>
        <v>136.65260431857229</v>
      </c>
      <c r="J21" s="44">
        <f t="shared" si="8"/>
        <v>-7501.3890474163209</v>
      </c>
      <c r="L21" s="52">
        <f>IF(ISNUMBER(B21)=TRUE,DR!C$25,"")</f>
        <v>0.22499999999999998</v>
      </c>
    </row>
    <row r="22" spans="2:12" s="17" customFormat="1" ht="13.2">
      <c r="B22" s="55">
        <f t="shared" si="0"/>
        <v>8</v>
      </c>
      <c r="C22" s="56">
        <f t="shared" si="1"/>
        <v>45535</v>
      </c>
      <c r="D22" s="44">
        <f t="shared" si="2"/>
        <v>124743.4999933449</v>
      </c>
      <c r="E22" s="44">
        <f t="shared" si="3"/>
        <v>519.76458330560376</v>
      </c>
      <c r="F22" s="44">
        <f t="shared" si="4"/>
        <v>7096.3086745286782</v>
      </c>
      <c r="G22" s="44">
        <f t="shared" si="5"/>
        <v>7616.0732578342822</v>
      </c>
      <c r="H22" s="44">
        <f t="shared" si="6"/>
        <v>20.790583332224152</v>
      </c>
      <c r="I22" s="44">
        <f t="shared" si="7"/>
        <v>129.76241249351128</v>
      </c>
      <c r="J22" s="44">
        <f t="shared" si="8"/>
        <v>-7507.1014286729951</v>
      </c>
      <c r="L22" s="52">
        <f>IF(ISNUMBER(B22)=TRUE,DR!C$25,"")</f>
        <v>0.22499999999999998</v>
      </c>
    </row>
    <row r="23" spans="2:12" s="17" customFormat="1" ht="13.2">
      <c r="B23" s="55">
        <f t="shared" si="0"/>
        <v>9</v>
      </c>
      <c r="C23" s="56">
        <f t="shared" si="1"/>
        <v>45565</v>
      </c>
      <c r="D23" s="44">
        <f t="shared" si="2"/>
        <v>117647.19131881621</v>
      </c>
      <c r="E23" s="44">
        <f t="shared" si="3"/>
        <v>490.19663049506761</v>
      </c>
      <c r="F23" s="44">
        <f t="shared" si="4"/>
        <v>7125.8766273392148</v>
      </c>
      <c r="G23" s="44">
        <f t="shared" si="5"/>
        <v>7616.0732578342822</v>
      </c>
      <c r="H23" s="44">
        <f t="shared" si="6"/>
        <v>19.607865219802704</v>
      </c>
      <c r="I23" s="44">
        <f t="shared" si="7"/>
        <v>122.84351153584581</v>
      </c>
      <c r="J23" s="44">
        <f t="shared" si="8"/>
        <v>-7512.8376115182391</v>
      </c>
      <c r="L23" s="52">
        <f>IF(ISNUMBER(B23)=TRUE,DR!C$25,"")</f>
        <v>0.22499999999999998</v>
      </c>
    </row>
    <row r="24" spans="2:12" s="17" customFormat="1" ht="13.2">
      <c r="B24" s="55">
        <f t="shared" si="0"/>
        <v>10</v>
      </c>
      <c r="C24" s="56">
        <f t="shared" si="1"/>
        <v>45596</v>
      </c>
      <c r="D24" s="44">
        <f t="shared" si="2"/>
        <v>110521.314691477</v>
      </c>
      <c r="E24" s="44">
        <f t="shared" si="3"/>
        <v>460.50547788115426</v>
      </c>
      <c r="F24" s="44">
        <f t="shared" si="4"/>
        <v>7155.5677799531277</v>
      </c>
      <c r="G24" s="44">
        <f t="shared" si="5"/>
        <v>7616.0732578342822</v>
      </c>
      <c r="H24" s="44">
        <f t="shared" si="6"/>
        <v>18.420219115246169</v>
      </c>
      <c r="I24" s="44">
        <f t="shared" si="7"/>
        <v>115.89578182419008</v>
      </c>
      <c r="J24" s="44">
        <f t="shared" si="8"/>
        <v>-7518.5976951253388</v>
      </c>
      <c r="L24" s="52">
        <f>IF(ISNUMBER(B24)=TRUE,DR!C$25,"")</f>
        <v>0.22499999999999998</v>
      </c>
    </row>
    <row r="25" spans="2:12" s="17" customFormat="1" ht="13.2">
      <c r="B25" s="55">
        <f t="shared" si="0"/>
        <v>11</v>
      </c>
      <c r="C25" s="56">
        <f t="shared" si="1"/>
        <v>45626</v>
      </c>
      <c r="D25" s="44">
        <f t="shared" si="2"/>
        <v>103365.74691152388</v>
      </c>
      <c r="E25" s="44">
        <f t="shared" si="3"/>
        <v>430.69061213134955</v>
      </c>
      <c r="F25" s="44">
        <f t="shared" si="4"/>
        <v>7185.3826457029327</v>
      </c>
      <c r="G25" s="44">
        <f t="shared" si="5"/>
        <v>7616.0732578342822</v>
      </c>
      <c r="H25" s="44">
        <f t="shared" si="6"/>
        <v>17.227624485253983</v>
      </c>
      <c r="I25" s="44">
        <f t="shared" si="7"/>
        <v>108.91910323873579</v>
      </c>
      <c r="J25" s="44">
        <f t="shared" si="8"/>
        <v>-7524.3817790807998</v>
      </c>
      <c r="L25" s="52">
        <f>IF(ISNUMBER(B25)=TRUE,DR!C$25,"")</f>
        <v>0.22499999999999998</v>
      </c>
    </row>
    <row r="26" spans="2:12" s="17" customFormat="1" ht="13.2">
      <c r="B26" s="62">
        <f t="shared" si="0"/>
        <v>12</v>
      </c>
      <c r="C26" s="63">
        <f t="shared" si="1"/>
        <v>45657</v>
      </c>
      <c r="D26" s="64">
        <f t="shared" si="2"/>
        <v>96180.364265820943</v>
      </c>
      <c r="E26" s="64">
        <f t="shared" si="3"/>
        <v>400.75151777425395</v>
      </c>
      <c r="F26" s="64">
        <f t="shared" si="4"/>
        <v>7215.3217400600279</v>
      </c>
      <c r="G26" s="64">
        <f t="shared" si="5"/>
        <v>7616.0732578342822</v>
      </c>
      <c r="H26" s="64">
        <f t="shared" si="6"/>
        <v>16.030060710970158</v>
      </c>
      <c r="I26" s="64">
        <f t="shared" si="7"/>
        <v>101.91335515917541</v>
      </c>
      <c r="J26" s="64">
        <f t="shared" si="8"/>
        <v>-7530.1899633860767</v>
      </c>
      <c r="K26" s="65"/>
      <c r="L26" s="66">
        <f>IF(ISNUMBER(B26)=TRUE,DR!C$25,"")</f>
        <v>0.22499999999999998</v>
      </c>
    </row>
    <row r="27" spans="2:12" ht="13.2">
      <c r="B27" s="55">
        <f t="shared" si="0"/>
        <v>13</v>
      </c>
      <c r="C27" s="56">
        <f t="shared" si="1"/>
        <v>45688</v>
      </c>
      <c r="D27" s="44">
        <f t="shared" si="2"/>
        <v>88965.042525760917</v>
      </c>
      <c r="E27" s="44">
        <f t="shared" si="3"/>
        <v>370.68767719067051</v>
      </c>
      <c r="F27" s="44">
        <f t="shared" si="4"/>
        <v>7245.3855806436113</v>
      </c>
      <c r="G27" s="44">
        <f t="shared" si="5"/>
        <v>7616.0732578342822</v>
      </c>
      <c r="H27" s="44">
        <f t="shared" si="6"/>
        <v>14.82750708762682</v>
      </c>
      <c r="I27" s="44">
        <f t="shared" si="7"/>
        <v>94.878416462616897</v>
      </c>
      <c r="J27" s="44">
        <f t="shared" si="8"/>
        <v>-7536.0223484592925</v>
      </c>
      <c r="L27" s="52">
        <f>IF(ISNUMBER(B27)=TRUE,DR!D$25,"")</f>
        <v>0.22499999999999998</v>
      </c>
    </row>
    <row r="28" spans="2:12" ht="13.2">
      <c r="B28" s="55">
        <f t="shared" si="0"/>
        <v>14</v>
      </c>
      <c r="C28" s="56">
        <f t="shared" si="1"/>
        <v>45716</v>
      </c>
      <c r="D28" s="44">
        <f t="shared" si="2"/>
        <v>81719.656945117313</v>
      </c>
      <c r="E28" s="44">
        <f t="shared" si="3"/>
        <v>340.49857060465547</v>
      </c>
      <c r="F28" s="44">
        <f t="shared" si="4"/>
        <v>7275.5746872296268</v>
      </c>
      <c r="G28" s="44">
        <f t="shared" si="5"/>
        <v>7616.0732578342822</v>
      </c>
      <c r="H28" s="44">
        <f t="shared" si="6"/>
        <v>13.61994282418622</v>
      </c>
      <c r="I28" s="44">
        <f t="shared" si="7"/>
        <v>87.814165521489386</v>
      </c>
      <c r="J28" s="44">
        <f t="shared" si="8"/>
        <v>-7541.8790351369789</v>
      </c>
      <c r="L28" s="52">
        <f>IF(ISNUMBER(B28)=TRUE,DR!D$25,"")</f>
        <v>0.22499999999999998</v>
      </c>
    </row>
    <row r="29" spans="2:12" ht="13.2">
      <c r="B29" s="55">
        <f t="shared" si="0"/>
        <v>15</v>
      </c>
      <c r="C29" s="56">
        <f t="shared" si="1"/>
        <v>45747</v>
      </c>
      <c r="D29" s="44">
        <f t="shared" si="2"/>
        <v>74444.082257887683</v>
      </c>
      <c r="E29" s="44">
        <f t="shared" si="3"/>
        <v>310.183676074532</v>
      </c>
      <c r="F29" s="44">
        <f t="shared" si="4"/>
        <v>7305.8895817597504</v>
      </c>
      <c r="G29" s="44">
        <f t="shared" si="5"/>
        <v>7616.0732578342822</v>
      </c>
      <c r="H29" s="44">
        <f t="shared" si="6"/>
        <v>12.40734704298128</v>
      </c>
      <c r="I29" s="44">
        <f t="shared" si="7"/>
        <v>80.720480201440481</v>
      </c>
      <c r="J29" s="44">
        <f t="shared" si="8"/>
        <v>-7547.7601246758231</v>
      </c>
      <c r="L29" s="52">
        <f>IF(ISNUMBER(B29)=TRUE,DR!D$25,"")</f>
        <v>0.22499999999999998</v>
      </c>
    </row>
    <row r="30" spans="2:12" ht="13.2">
      <c r="B30" s="55">
        <f t="shared" si="0"/>
        <v>16</v>
      </c>
      <c r="C30" s="56">
        <f t="shared" si="1"/>
        <v>45777</v>
      </c>
      <c r="D30" s="44">
        <f t="shared" si="2"/>
        <v>67138.192676127932</v>
      </c>
      <c r="E30" s="44">
        <f t="shared" si="3"/>
        <v>279.74246948386639</v>
      </c>
      <c r="F30" s="44">
        <f t="shared" si="4"/>
        <v>7336.3307883504158</v>
      </c>
      <c r="G30" s="44">
        <f t="shared" si="5"/>
        <v>7616.0732578342822</v>
      </c>
      <c r="H30" s="44">
        <f t="shared" si="6"/>
        <v>11.189698779354655</v>
      </c>
      <c r="I30" s="44">
        <f t="shared" si="7"/>
        <v>73.597237859224734</v>
      </c>
      <c r="J30" s="44">
        <f t="shared" si="8"/>
        <v>-7553.6657187544115</v>
      </c>
      <c r="L30" s="52">
        <f>IF(ISNUMBER(B30)=TRUE,DR!D$25,"")</f>
        <v>0.22499999999999998</v>
      </c>
    </row>
    <row r="31" spans="2:12" ht="13.2">
      <c r="B31" s="55">
        <f t="shared" si="0"/>
        <v>17</v>
      </c>
      <c r="C31" s="56">
        <f t="shared" si="1"/>
        <v>45808</v>
      </c>
      <c r="D31" s="44">
        <f t="shared" si="2"/>
        <v>59801.861887777515</v>
      </c>
      <c r="E31" s="44">
        <f t="shared" si="3"/>
        <v>249.17442453240633</v>
      </c>
      <c r="F31" s="44">
        <f t="shared" si="4"/>
        <v>7366.898833301876</v>
      </c>
      <c r="G31" s="44">
        <f t="shared" si="5"/>
        <v>7616.0732578342822</v>
      </c>
      <c r="H31" s="44">
        <f t="shared" si="6"/>
        <v>9.9669769812962539</v>
      </c>
      <c r="I31" s="44">
        <f t="shared" si="7"/>
        <v>66.444315340583074</v>
      </c>
      <c r="J31" s="44">
        <f t="shared" si="8"/>
        <v>-7559.5959194749958</v>
      </c>
      <c r="L31" s="52">
        <f>IF(ISNUMBER(B31)=TRUE,DR!D$25,"")</f>
        <v>0.22499999999999998</v>
      </c>
    </row>
    <row r="32" spans="2:12" ht="13.2">
      <c r="B32" s="55">
        <f t="shared" si="0"/>
        <v>18</v>
      </c>
      <c r="C32" s="56">
        <f t="shared" si="1"/>
        <v>45838</v>
      </c>
      <c r="D32" s="44">
        <f t="shared" si="2"/>
        <v>52434.963054475636</v>
      </c>
      <c r="E32" s="44">
        <f t="shared" si="3"/>
        <v>218.47901272698184</v>
      </c>
      <c r="F32" s="44">
        <f t="shared" si="4"/>
        <v>7397.5942451073006</v>
      </c>
      <c r="G32" s="44">
        <f t="shared" si="5"/>
        <v>7616.0732578342822</v>
      </c>
      <c r="H32" s="44">
        <f t="shared" si="6"/>
        <v>8.739160509079273</v>
      </c>
      <c r="I32" s="44">
        <f t="shared" si="7"/>
        <v>59.261588978113743</v>
      </c>
      <c r="J32" s="44">
        <f t="shared" si="8"/>
        <v>-7565.5508293652474</v>
      </c>
      <c r="L32" s="52">
        <f>IF(ISNUMBER(B32)=TRUE,DR!D$25,"")</f>
        <v>0.22499999999999998</v>
      </c>
    </row>
    <row r="33" spans="2:12" ht="13.2">
      <c r="B33" s="55">
        <f t="shared" si="0"/>
        <v>19</v>
      </c>
      <c r="C33" s="56">
        <f t="shared" si="1"/>
        <v>45869</v>
      </c>
      <c r="D33" s="44">
        <f t="shared" si="2"/>
        <v>45037.368809368338</v>
      </c>
      <c r="E33" s="44">
        <f t="shared" si="3"/>
        <v>187.65570337236807</v>
      </c>
      <c r="F33" s="44">
        <f t="shared" si="4"/>
        <v>7428.4175544619138</v>
      </c>
      <c r="G33" s="44">
        <f t="shared" si="5"/>
        <v>7616.0732578342822</v>
      </c>
      <c r="H33" s="44">
        <f t="shared" si="6"/>
        <v>7.5062281348947231</v>
      </c>
      <c r="I33" s="44">
        <f t="shared" si="7"/>
        <v>52.04893458913412</v>
      </c>
      <c r="J33" s="44">
        <f t="shared" si="8"/>
        <v>-7571.5305513800431</v>
      </c>
      <c r="L33" s="52">
        <f>IF(ISNUMBER(B33)=TRUE,DR!D$25,"")</f>
        <v>0.22499999999999998</v>
      </c>
    </row>
    <row r="34" spans="2:12" ht="13.2">
      <c r="B34" s="55">
        <f t="shared" si="0"/>
        <v>20</v>
      </c>
      <c r="C34" s="56">
        <f t="shared" si="1"/>
        <v>45900</v>
      </c>
      <c r="D34" s="44">
        <f t="shared" si="2"/>
        <v>37608.951254906424</v>
      </c>
      <c r="E34" s="44">
        <f t="shared" si="3"/>
        <v>156.70396356211009</v>
      </c>
      <c r="F34" s="44">
        <f t="shared" si="4"/>
        <v>7459.3692942721718</v>
      </c>
      <c r="G34" s="44">
        <f t="shared" si="5"/>
        <v>7616.0732578342822</v>
      </c>
      <c r="H34" s="44">
        <f t="shared" si="6"/>
        <v>6.2681585424844037</v>
      </c>
      <c r="I34" s="44">
        <f t="shared" si="7"/>
        <v>44.806227473533752</v>
      </c>
      <c r="J34" s="44">
        <f t="shared" si="8"/>
        <v>-7577.5351889032327</v>
      </c>
      <c r="L34" s="52">
        <f>IF(ISNUMBER(B34)=TRUE,DR!D$25,"")</f>
        <v>0.22499999999999998</v>
      </c>
    </row>
    <row r="35" spans="2:12" ht="13.2">
      <c r="B35" s="55">
        <f t="shared" si="0"/>
        <v>21</v>
      </c>
      <c r="C35" s="56">
        <f t="shared" si="1"/>
        <v>45930</v>
      </c>
      <c r="D35" s="44">
        <f t="shared" si="2"/>
        <v>30149.581960634252</v>
      </c>
      <c r="E35" s="44">
        <f t="shared" si="3"/>
        <v>125.62325816930939</v>
      </c>
      <c r="F35" s="44">
        <f t="shared" si="4"/>
        <v>7490.4499996649729</v>
      </c>
      <c r="G35" s="44">
        <f t="shared" si="5"/>
        <v>7616.0732578342822</v>
      </c>
      <c r="H35" s="44">
        <f t="shared" si="6"/>
        <v>5.0249303267723757</v>
      </c>
      <c r="I35" s="44">
        <f t="shared" si="7"/>
        <v>37.533342411618392</v>
      </c>
      <c r="J35" s="44">
        <f t="shared" si="8"/>
        <v>-7583.5648457494353</v>
      </c>
      <c r="L35" s="52">
        <f>IF(ISNUMBER(B35)=TRUE,DR!D$25,"")</f>
        <v>0.22499999999999998</v>
      </c>
    </row>
    <row r="36" spans="2:12" ht="13.2">
      <c r="B36" s="55">
        <f t="shared" si="0"/>
        <v>22</v>
      </c>
      <c r="C36" s="56">
        <f t="shared" si="1"/>
        <v>45961</v>
      </c>
      <c r="D36" s="44">
        <f t="shared" si="2"/>
        <v>22659.13196096928</v>
      </c>
      <c r="E36" s="44">
        <f t="shared" si="3"/>
        <v>94.413049837372</v>
      </c>
      <c r="F36" s="44">
        <f t="shared" si="4"/>
        <v>7521.6602079969107</v>
      </c>
      <c r="G36" s="44">
        <f t="shared" si="5"/>
        <v>7616.0732578342822</v>
      </c>
      <c r="H36" s="44">
        <f t="shared" si="6"/>
        <v>3.7765219934948799</v>
      </c>
      <c r="I36" s="44">
        <f t="shared" si="7"/>
        <v>30.230153661945046</v>
      </c>
      <c r="J36" s="44">
        <f t="shared" si="8"/>
        <v>-7589.6196261658315</v>
      </c>
      <c r="L36" s="52">
        <f>IF(ISNUMBER(B36)=TRUE,DR!D$25,"")</f>
        <v>0.22499999999999998</v>
      </c>
    </row>
    <row r="37" spans="2:12" ht="13.2">
      <c r="B37" s="55">
        <f t="shared" si="0"/>
        <v>23</v>
      </c>
      <c r="C37" s="56">
        <f t="shared" si="1"/>
        <v>45991</v>
      </c>
      <c r="D37" s="44">
        <f t="shared" si="2"/>
        <v>15137.471752972369</v>
      </c>
      <c r="E37" s="44">
        <f t="shared" si="3"/>
        <v>63.072798970718203</v>
      </c>
      <c r="F37" s="44">
        <f t="shared" si="4"/>
        <v>7553.0004588635638</v>
      </c>
      <c r="G37" s="44">
        <f t="shared" si="5"/>
        <v>7616.0732578342822</v>
      </c>
      <c r="H37" s="44">
        <f t="shared" si="6"/>
        <v>2.5229119588287281</v>
      </c>
      <c r="I37" s="44">
        <f t="shared" si="7"/>
        <v>22.896534959148052</v>
      </c>
      <c r="J37" s="44">
        <f t="shared" si="8"/>
        <v>-7595.6996348339626</v>
      </c>
      <c r="L37" s="52">
        <f>IF(ISNUMBER(B37)=TRUE,DR!D$25,"")</f>
        <v>0.22499999999999998</v>
      </c>
    </row>
    <row r="38" spans="2:12" ht="13.2">
      <c r="B38" s="62">
        <f t="shared" si="0"/>
        <v>24</v>
      </c>
      <c r="C38" s="63">
        <f t="shared" si="1"/>
        <v>46022</v>
      </c>
      <c r="D38" s="64">
        <f t="shared" si="2"/>
        <v>7584.4712941088055</v>
      </c>
      <c r="E38" s="64">
        <f t="shared" si="3"/>
        <v>31.601963725453359</v>
      </c>
      <c r="F38" s="64">
        <f t="shared" si="4"/>
        <v>7584.4712941088292</v>
      </c>
      <c r="G38" s="64">
        <f t="shared" si="5"/>
        <v>7616.0732578342822</v>
      </c>
      <c r="H38" s="64">
        <f t="shared" si="6"/>
        <v>1.2640785490181343</v>
      </c>
      <c r="I38" s="64">
        <f t="shared" si="7"/>
        <v>15.532359511756086</v>
      </c>
      <c r="J38" s="64">
        <f t="shared" si="8"/>
        <v>-7601.8049768715446</v>
      </c>
      <c r="K38" s="67"/>
      <c r="L38" s="66">
        <f>IF(ISNUMBER(B38)=TRUE,DR!D$25,"")</f>
        <v>0.22499999999999998</v>
      </c>
    </row>
    <row r="39" spans="2:12" ht="13.2">
      <c r="B39" s="55" t="str">
        <f t="shared" si="0"/>
        <v/>
      </c>
      <c r="C39" s="56" t="str">
        <f t="shared" si="1"/>
        <v/>
      </c>
      <c r="D39" s="44" t="str">
        <f t="shared" si="2"/>
        <v/>
      </c>
      <c r="E39" s="44" t="str">
        <f t="shared" si="3"/>
        <v/>
      </c>
      <c r="F39" s="44" t="str">
        <f t="shared" si="4"/>
        <v/>
      </c>
      <c r="G39" s="44" t="str">
        <f t="shared" si="5"/>
        <v/>
      </c>
      <c r="H39" s="44" t="str">
        <f t="shared" si="6"/>
        <v/>
      </c>
      <c r="I39" s="44" t="str">
        <f t="shared" si="7"/>
        <v/>
      </c>
      <c r="J39" s="44" t="str">
        <f t="shared" si="8"/>
        <v/>
      </c>
      <c r="L39" s="52" t="str">
        <f>IF(ISNUMBER(B39)=TRUE,DR!E$25,"")</f>
        <v/>
      </c>
    </row>
    <row r="40" spans="2:12" ht="13.2">
      <c r="B40" s="55" t="str">
        <f t="shared" si="0"/>
        <v/>
      </c>
      <c r="C40" s="56" t="str">
        <f t="shared" si="1"/>
        <v/>
      </c>
      <c r="D40" s="44" t="str">
        <f t="shared" si="2"/>
        <v/>
      </c>
      <c r="E40" s="44" t="str">
        <f t="shared" si="3"/>
        <v/>
      </c>
      <c r="F40" s="44" t="str">
        <f t="shared" si="4"/>
        <v/>
      </c>
      <c r="G40" s="44" t="str">
        <f t="shared" si="5"/>
        <v/>
      </c>
      <c r="H40" s="44" t="str">
        <f t="shared" si="6"/>
        <v/>
      </c>
      <c r="I40" s="44" t="str">
        <f t="shared" si="7"/>
        <v/>
      </c>
      <c r="J40" s="44" t="str">
        <f t="shared" si="8"/>
        <v/>
      </c>
      <c r="L40" s="52" t="str">
        <f>IF(ISNUMBER(B40)=TRUE,DR!E$25,"")</f>
        <v/>
      </c>
    </row>
    <row r="41" spans="2:12" ht="13.2">
      <c r="B41" s="55" t="str">
        <f t="shared" si="0"/>
        <v/>
      </c>
      <c r="C41" s="56" t="str">
        <f t="shared" si="1"/>
        <v/>
      </c>
      <c r="D41" s="44" t="str">
        <f t="shared" si="2"/>
        <v/>
      </c>
      <c r="E41" s="44" t="str">
        <f t="shared" si="3"/>
        <v/>
      </c>
      <c r="F41" s="44" t="str">
        <f t="shared" si="4"/>
        <v/>
      </c>
      <c r="G41" s="44" t="str">
        <f t="shared" si="5"/>
        <v/>
      </c>
      <c r="H41" s="44" t="str">
        <f t="shared" si="6"/>
        <v/>
      </c>
      <c r="I41" s="44" t="str">
        <f t="shared" si="7"/>
        <v/>
      </c>
      <c r="J41" s="44" t="str">
        <f t="shared" si="8"/>
        <v/>
      </c>
      <c r="L41" s="52" t="str">
        <f>IF(ISNUMBER(B41)=TRUE,DR!E$25,"")</f>
        <v/>
      </c>
    </row>
    <row r="42" spans="2:12" ht="13.2">
      <c r="B42" s="55" t="str">
        <f t="shared" si="0"/>
        <v/>
      </c>
      <c r="C42" s="56" t="str">
        <f t="shared" si="1"/>
        <v/>
      </c>
      <c r="D42" s="44" t="str">
        <f t="shared" si="2"/>
        <v/>
      </c>
      <c r="E42" s="44" t="str">
        <f t="shared" si="3"/>
        <v/>
      </c>
      <c r="F42" s="44" t="str">
        <f t="shared" si="4"/>
        <v/>
      </c>
      <c r="G42" s="44" t="str">
        <f t="shared" si="5"/>
        <v/>
      </c>
      <c r="H42" s="44" t="str">
        <f t="shared" si="6"/>
        <v/>
      </c>
      <c r="I42" s="44" t="str">
        <f t="shared" si="7"/>
        <v/>
      </c>
      <c r="J42" s="44" t="str">
        <f t="shared" si="8"/>
        <v/>
      </c>
      <c r="L42" s="52" t="str">
        <f>IF(ISNUMBER(B42)=TRUE,DR!E$25,"")</f>
        <v/>
      </c>
    </row>
    <row r="43" spans="2:12" ht="13.2">
      <c r="B43" s="55" t="str">
        <f t="shared" si="0"/>
        <v/>
      </c>
      <c r="C43" s="56" t="str">
        <f t="shared" si="1"/>
        <v/>
      </c>
      <c r="D43" s="44" t="str">
        <f t="shared" si="2"/>
        <v/>
      </c>
      <c r="E43" s="44" t="str">
        <f t="shared" si="3"/>
        <v/>
      </c>
      <c r="F43" s="44" t="str">
        <f t="shared" si="4"/>
        <v/>
      </c>
      <c r="G43" s="44" t="str">
        <f t="shared" si="5"/>
        <v/>
      </c>
      <c r="H43" s="44" t="str">
        <f t="shared" si="6"/>
        <v/>
      </c>
      <c r="I43" s="44" t="str">
        <f t="shared" si="7"/>
        <v/>
      </c>
      <c r="J43" s="44" t="str">
        <f t="shared" si="8"/>
        <v/>
      </c>
      <c r="L43" s="52" t="str">
        <f>IF(ISNUMBER(B43)=TRUE,DR!E$25,"")</f>
        <v/>
      </c>
    </row>
    <row r="44" spans="2:12" ht="13.2">
      <c r="B44" s="55" t="str">
        <f t="shared" si="0"/>
        <v/>
      </c>
      <c r="C44" s="56" t="str">
        <f t="shared" si="1"/>
        <v/>
      </c>
      <c r="D44" s="44" t="str">
        <f t="shared" si="2"/>
        <v/>
      </c>
      <c r="E44" s="44" t="str">
        <f t="shared" si="3"/>
        <v/>
      </c>
      <c r="F44" s="44" t="str">
        <f t="shared" si="4"/>
        <v/>
      </c>
      <c r="G44" s="44" t="str">
        <f t="shared" si="5"/>
        <v/>
      </c>
      <c r="H44" s="44" t="str">
        <f t="shared" si="6"/>
        <v/>
      </c>
      <c r="I44" s="44" t="str">
        <f t="shared" si="7"/>
        <v/>
      </c>
      <c r="J44" s="44" t="str">
        <f t="shared" si="8"/>
        <v/>
      </c>
      <c r="L44" s="52" t="str">
        <f>IF(ISNUMBER(B44)=TRUE,DR!E$25,"")</f>
        <v/>
      </c>
    </row>
    <row r="45" spans="2:12" ht="13.2">
      <c r="B45" s="55" t="str">
        <f t="shared" si="0"/>
        <v/>
      </c>
      <c r="C45" s="56" t="str">
        <f t="shared" si="1"/>
        <v/>
      </c>
      <c r="D45" s="44" t="str">
        <f t="shared" si="2"/>
        <v/>
      </c>
      <c r="E45" s="44" t="str">
        <f t="shared" si="3"/>
        <v/>
      </c>
      <c r="F45" s="44" t="str">
        <f t="shared" si="4"/>
        <v/>
      </c>
      <c r="G45" s="44" t="str">
        <f t="shared" si="5"/>
        <v/>
      </c>
      <c r="H45" s="44" t="str">
        <f t="shared" si="6"/>
        <v/>
      </c>
      <c r="I45" s="44" t="str">
        <f t="shared" si="7"/>
        <v/>
      </c>
      <c r="J45" s="44" t="str">
        <f t="shared" si="8"/>
        <v/>
      </c>
      <c r="L45" s="52" t="str">
        <f>IF(ISNUMBER(B45)=TRUE,DR!E$25,"")</f>
        <v/>
      </c>
    </row>
    <row r="46" spans="2:12" ht="13.2">
      <c r="B46" s="55" t="str">
        <f t="shared" si="0"/>
        <v/>
      </c>
      <c r="C46" s="56" t="str">
        <f t="shared" si="1"/>
        <v/>
      </c>
      <c r="D46" s="44" t="str">
        <f t="shared" si="2"/>
        <v/>
      </c>
      <c r="E46" s="44" t="str">
        <f t="shared" si="3"/>
        <v/>
      </c>
      <c r="F46" s="44" t="str">
        <f t="shared" si="4"/>
        <v/>
      </c>
      <c r="G46" s="44" t="str">
        <f t="shared" si="5"/>
        <v/>
      </c>
      <c r="H46" s="44" t="str">
        <f t="shared" si="6"/>
        <v/>
      </c>
      <c r="I46" s="44" t="str">
        <f t="shared" si="7"/>
        <v/>
      </c>
      <c r="J46" s="44" t="str">
        <f t="shared" si="8"/>
        <v/>
      </c>
      <c r="L46" s="52" t="str">
        <f>IF(ISNUMBER(B46)=TRUE,DR!E$25,"")</f>
        <v/>
      </c>
    </row>
    <row r="47" spans="2:12" ht="13.2">
      <c r="B47" s="55" t="str">
        <f t="shared" si="0"/>
        <v/>
      </c>
      <c r="C47" s="56" t="str">
        <f t="shared" si="1"/>
        <v/>
      </c>
      <c r="D47" s="44" t="str">
        <f t="shared" si="2"/>
        <v/>
      </c>
      <c r="E47" s="44" t="str">
        <f t="shared" si="3"/>
        <v/>
      </c>
      <c r="F47" s="44" t="str">
        <f t="shared" si="4"/>
        <v/>
      </c>
      <c r="G47" s="44" t="str">
        <f t="shared" si="5"/>
        <v/>
      </c>
      <c r="H47" s="44" t="str">
        <f t="shared" si="6"/>
        <v/>
      </c>
      <c r="I47" s="44" t="str">
        <f t="shared" si="7"/>
        <v/>
      </c>
      <c r="J47" s="44" t="str">
        <f t="shared" si="8"/>
        <v/>
      </c>
      <c r="L47" s="52" t="str">
        <f>IF(ISNUMBER(B47)=TRUE,DR!E$25,"")</f>
        <v/>
      </c>
    </row>
    <row r="48" spans="2:12" ht="13.2">
      <c r="B48" s="55" t="str">
        <f t="shared" si="0"/>
        <v/>
      </c>
      <c r="C48" s="56" t="str">
        <f t="shared" si="1"/>
        <v/>
      </c>
      <c r="D48" s="44" t="str">
        <f t="shared" si="2"/>
        <v/>
      </c>
      <c r="E48" s="44" t="str">
        <f t="shared" si="3"/>
        <v/>
      </c>
      <c r="F48" s="44" t="str">
        <f t="shared" si="4"/>
        <v/>
      </c>
      <c r="G48" s="44" t="str">
        <f t="shared" si="5"/>
        <v/>
      </c>
      <c r="H48" s="44" t="str">
        <f t="shared" si="6"/>
        <v/>
      </c>
      <c r="I48" s="44" t="str">
        <f t="shared" si="7"/>
        <v/>
      </c>
      <c r="J48" s="44" t="str">
        <f t="shared" si="8"/>
        <v/>
      </c>
      <c r="L48" s="52" t="str">
        <f>IF(ISNUMBER(B48)=TRUE,DR!E$25,"")</f>
        <v/>
      </c>
    </row>
    <row r="49" spans="2:12" ht="13.2">
      <c r="B49" s="55" t="str">
        <f t="shared" si="0"/>
        <v/>
      </c>
      <c r="C49" s="56" t="str">
        <f t="shared" si="1"/>
        <v/>
      </c>
      <c r="D49" s="44" t="str">
        <f t="shared" si="2"/>
        <v/>
      </c>
      <c r="E49" s="44" t="str">
        <f t="shared" si="3"/>
        <v/>
      </c>
      <c r="F49" s="44" t="str">
        <f t="shared" si="4"/>
        <v/>
      </c>
      <c r="G49" s="44" t="str">
        <f t="shared" si="5"/>
        <v/>
      </c>
      <c r="H49" s="44" t="str">
        <f t="shared" si="6"/>
        <v/>
      </c>
      <c r="I49" s="44" t="str">
        <f t="shared" si="7"/>
        <v/>
      </c>
      <c r="J49" s="44" t="str">
        <f t="shared" si="8"/>
        <v/>
      </c>
      <c r="L49" s="52" t="str">
        <f>IF(ISNUMBER(B49)=TRUE,DR!E$25,"")</f>
        <v/>
      </c>
    </row>
    <row r="50" spans="2:12" ht="13.2">
      <c r="B50" s="62" t="str">
        <f t="shared" si="0"/>
        <v/>
      </c>
      <c r="C50" s="63" t="str">
        <f t="shared" si="1"/>
        <v/>
      </c>
      <c r="D50" s="64" t="str">
        <f t="shared" si="2"/>
        <v/>
      </c>
      <c r="E50" s="64" t="str">
        <f t="shared" si="3"/>
        <v/>
      </c>
      <c r="F50" s="64" t="str">
        <f t="shared" si="4"/>
        <v/>
      </c>
      <c r="G50" s="64" t="str">
        <f t="shared" si="5"/>
        <v/>
      </c>
      <c r="H50" s="64" t="str">
        <f t="shared" si="6"/>
        <v/>
      </c>
      <c r="I50" s="64" t="str">
        <f t="shared" si="7"/>
        <v/>
      </c>
      <c r="J50" s="64" t="str">
        <f t="shared" si="8"/>
        <v/>
      </c>
      <c r="K50" s="67"/>
      <c r="L50" s="66" t="str">
        <f>IF(ISNUMBER(B50)=TRUE,DR!E$25,"")</f>
        <v/>
      </c>
    </row>
    <row r="51" spans="2:12" ht="13.2">
      <c r="B51" s="55" t="str">
        <f t="shared" si="0"/>
        <v/>
      </c>
      <c r="C51" s="56" t="str">
        <f t="shared" si="1"/>
        <v/>
      </c>
      <c r="D51" s="44" t="str">
        <f t="shared" si="2"/>
        <v/>
      </c>
      <c r="E51" s="44" t="str">
        <f t="shared" si="3"/>
        <v/>
      </c>
      <c r="F51" s="44" t="str">
        <f t="shared" si="4"/>
        <v/>
      </c>
      <c r="G51" s="44" t="str">
        <f t="shared" si="5"/>
        <v/>
      </c>
      <c r="H51" s="44" t="str">
        <f t="shared" si="6"/>
        <v/>
      </c>
      <c r="I51" s="44" t="str">
        <f t="shared" si="7"/>
        <v/>
      </c>
      <c r="J51" s="44" t="str">
        <f t="shared" si="8"/>
        <v/>
      </c>
      <c r="L51" s="52" t="str">
        <f>IF(ISNUMBER(B51)=TRUE,DR!F$25,"")</f>
        <v/>
      </c>
    </row>
    <row r="52" spans="2:12" ht="13.2">
      <c r="B52" s="55" t="str">
        <f t="shared" si="0"/>
        <v/>
      </c>
      <c r="C52" s="56" t="str">
        <f t="shared" si="1"/>
        <v/>
      </c>
      <c r="D52" s="44" t="str">
        <f t="shared" si="2"/>
        <v/>
      </c>
      <c r="E52" s="44" t="str">
        <f t="shared" si="3"/>
        <v/>
      </c>
      <c r="F52" s="44" t="str">
        <f t="shared" si="4"/>
        <v/>
      </c>
      <c r="G52" s="44" t="str">
        <f t="shared" si="5"/>
        <v/>
      </c>
      <c r="H52" s="44" t="str">
        <f t="shared" si="6"/>
        <v/>
      </c>
      <c r="I52" s="44" t="str">
        <f t="shared" si="7"/>
        <v/>
      </c>
      <c r="J52" s="44" t="str">
        <f t="shared" si="8"/>
        <v/>
      </c>
      <c r="L52" s="52" t="str">
        <f>IF(ISNUMBER(B52)=TRUE,DR!F$25,"")</f>
        <v/>
      </c>
    </row>
    <row r="53" spans="2:12" ht="13.2">
      <c r="B53" s="55" t="str">
        <f t="shared" si="0"/>
        <v/>
      </c>
      <c r="C53" s="56" t="str">
        <f t="shared" si="1"/>
        <v/>
      </c>
      <c r="D53" s="44" t="str">
        <f t="shared" si="2"/>
        <v/>
      </c>
      <c r="E53" s="44" t="str">
        <f t="shared" si="3"/>
        <v/>
      </c>
      <c r="F53" s="44" t="str">
        <f t="shared" si="4"/>
        <v/>
      </c>
      <c r="G53" s="44" t="str">
        <f t="shared" si="5"/>
        <v/>
      </c>
      <c r="H53" s="44" t="str">
        <f t="shared" si="6"/>
        <v/>
      </c>
      <c r="I53" s="44" t="str">
        <f t="shared" si="7"/>
        <v/>
      </c>
      <c r="J53" s="44" t="str">
        <f t="shared" si="8"/>
        <v/>
      </c>
      <c r="L53" s="52" t="str">
        <f>IF(ISNUMBER(B53)=TRUE,DR!F$25,"")</f>
        <v/>
      </c>
    </row>
    <row r="54" spans="2:12" ht="13.2">
      <c r="B54" s="55" t="str">
        <f t="shared" si="0"/>
        <v/>
      </c>
      <c r="C54" s="56" t="str">
        <f t="shared" si="1"/>
        <v/>
      </c>
      <c r="D54" s="44" t="str">
        <f t="shared" si="2"/>
        <v/>
      </c>
      <c r="E54" s="44" t="str">
        <f t="shared" si="3"/>
        <v/>
      </c>
      <c r="F54" s="44" t="str">
        <f t="shared" si="4"/>
        <v/>
      </c>
      <c r="G54" s="44" t="str">
        <f t="shared" si="5"/>
        <v/>
      </c>
      <c r="H54" s="44" t="str">
        <f t="shared" si="6"/>
        <v/>
      </c>
      <c r="I54" s="44" t="str">
        <f t="shared" si="7"/>
        <v/>
      </c>
      <c r="J54" s="44" t="str">
        <f t="shared" si="8"/>
        <v/>
      </c>
      <c r="L54" s="52" t="str">
        <f>IF(ISNUMBER(B54)=TRUE,DR!F$25,"")</f>
        <v/>
      </c>
    </row>
    <row r="55" spans="2:12" ht="13.2">
      <c r="B55" s="55" t="str">
        <f t="shared" si="0"/>
        <v/>
      </c>
      <c r="C55" s="56" t="str">
        <f t="shared" si="1"/>
        <v/>
      </c>
      <c r="D55" s="44" t="str">
        <f t="shared" si="2"/>
        <v/>
      </c>
      <c r="E55" s="44" t="str">
        <f t="shared" si="3"/>
        <v/>
      </c>
      <c r="F55" s="44" t="str">
        <f t="shared" si="4"/>
        <v/>
      </c>
      <c r="G55" s="44" t="str">
        <f t="shared" si="5"/>
        <v/>
      </c>
      <c r="H55" s="44" t="str">
        <f t="shared" si="6"/>
        <v/>
      </c>
      <c r="I55" s="44" t="str">
        <f t="shared" si="7"/>
        <v/>
      </c>
      <c r="J55" s="44" t="str">
        <f t="shared" si="8"/>
        <v/>
      </c>
      <c r="L55" s="52" t="str">
        <f>IF(ISNUMBER(B55)=TRUE,DR!F$25,"")</f>
        <v/>
      </c>
    </row>
    <row r="56" spans="2:12" ht="13.2">
      <c r="B56" s="55" t="str">
        <f t="shared" si="0"/>
        <v/>
      </c>
      <c r="C56" s="56" t="str">
        <f t="shared" si="1"/>
        <v/>
      </c>
      <c r="D56" s="44" t="str">
        <f t="shared" si="2"/>
        <v/>
      </c>
      <c r="E56" s="44" t="str">
        <f t="shared" si="3"/>
        <v/>
      </c>
      <c r="F56" s="44" t="str">
        <f t="shared" si="4"/>
        <v/>
      </c>
      <c r="G56" s="44" t="str">
        <f t="shared" si="5"/>
        <v/>
      </c>
      <c r="H56" s="44" t="str">
        <f t="shared" si="6"/>
        <v/>
      </c>
      <c r="I56" s="44" t="str">
        <f t="shared" si="7"/>
        <v/>
      </c>
      <c r="J56" s="44" t="str">
        <f t="shared" si="8"/>
        <v/>
      </c>
      <c r="L56" s="52" t="str">
        <f>IF(ISNUMBER(B56)=TRUE,DR!F$25,"")</f>
        <v/>
      </c>
    </row>
    <row r="57" spans="2:12" ht="13.2">
      <c r="B57" s="55" t="str">
        <f t="shared" si="0"/>
        <v/>
      </c>
      <c r="C57" s="56" t="str">
        <f t="shared" si="1"/>
        <v/>
      </c>
      <c r="D57" s="44" t="str">
        <f t="shared" si="2"/>
        <v/>
      </c>
      <c r="E57" s="44" t="str">
        <f t="shared" si="3"/>
        <v/>
      </c>
      <c r="F57" s="44" t="str">
        <f t="shared" si="4"/>
        <v/>
      </c>
      <c r="G57" s="44" t="str">
        <f t="shared" si="5"/>
        <v/>
      </c>
      <c r="H57" s="44" t="str">
        <f t="shared" si="6"/>
        <v/>
      </c>
      <c r="I57" s="44" t="str">
        <f t="shared" si="7"/>
        <v/>
      </c>
      <c r="J57" s="44" t="str">
        <f t="shared" si="8"/>
        <v/>
      </c>
      <c r="L57" s="52" t="str">
        <f>IF(ISNUMBER(B57)=TRUE,DR!F$25,"")</f>
        <v/>
      </c>
    </row>
    <row r="58" spans="2:12" ht="13.2">
      <c r="B58" s="55" t="str">
        <f t="shared" si="0"/>
        <v/>
      </c>
      <c r="C58" s="56" t="str">
        <f t="shared" si="1"/>
        <v/>
      </c>
      <c r="D58" s="44" t="str">
        <f t="shared" si="2"/>
        <v/>
      </c>
      <c r="E58" s="44" t="str">
        <f t="shared" si="3"/>
        <v/>
      </c>
      <c r="F58" s="44" t="str">
        <f t="shared" si="4"/>
        <v/>
      </c>
      <c r="G58" s="44" t="str">
        <f t="shared" si="5"/>
        <v/>
      </c>
      <c r="H58" s="44" t="str">
        <f t="shared" si="6"/>
        <v/>
      </c>
      <c r="I58" s="44" t="str">
        <f t="shared" si="7"/>
        <v/>
      </c>
      <c r="J58" s="44" t="str">
        <f t="shared" si="8"/>
        <v/>
      </c>
      <c r="L58" s="52" t="str">
        <f>IF(ISNUMBER(B58)=TRUE,DR!F$25,"")</f>
        <v/>
      </c>
    </row>
    <row r="59" spans="2:12" ht="13.2">
      <c r="B59" s="55" t="str">
        <f t="shared" si="0"/>
        <v/>
      </c>
      <c r="C59" s="56" t="str">
        <f t="shared" si="1"/>
        <v/>
      </c>
      <c r="D59" s="44" t="str">
        <f t="shared" si="2"/>
        <v/>
      </c>
      <c r="E59" s="44" t="str">
        <f t="shared" si="3"/>
        <v/>
      </c>
      <c r="F59" s="44" t="str">
        <f t="shared" si="4"/>
        <v/>
      </c>
      <c r="G59" s="44" t="str">
        <f t="shared" si="5"/>
        <v/>
      </c>
      <c r="H59" s="44" t="str">
        <f t="shared" si="6"/>
        <v/>
      </c>
      <c r="I59" s="44" t="str">
        <f t="shared" si="7"/>
        <v/>
      </c>
      <c r="J59" s="44" t="str">
        <f t="shared" si="8"/>
        <v/>
      </c>
      <c r="L59" s="52" t="str">
        <f>IF(ISNUMBER(B59)=TRUE,DR!F$25,"")</f>
        <v/>
      </c>
    </row>
    <row r="60" spans="2:12" ht="13.2">
      <c r="B60" s="55" t="str">
        <f t="shared" si="0"/>
        <v/>
      </c>
      <c r="C60" s="56" t="str">
        <f t="shared" si="1"/>
        <v/>
      </c>
      <c r="D60" s="44" t="str">
        <f t="shared" si="2"/>
        <v/>
      </c>
      <c r="E60" s="44" t="str">
        <f t="shared" si="3"/>
        <v/>
      </c>
      <c r="F60" s="44" t="str">
        <f t="shared" si="4"/>
        <v/>
      </c>
      <c r="G60" s="44" t="str">
        <f t="shared" si="5"/>
        <v/>
      </c>
      <c r="H60" s="44" t="str">
        <f t="shared" si="6"/>
        <v/>
      </c>
      <c r="I60" s="44" t="str">
        <f t="shared" si="7"/>
        <v/>
      </c>
      <c r="J60" s="44" t="str">
        <f t="shared" si="8"/>
        <v/>
      </c>
      <c r="L60" s="52" t="str">
        <f>IF(ISNUMBER(B60)=TRUE,DR!F$25,"")</f>
        <v/>
      </c>
    </row>
    <row r="61" spans="2:12" ht="13.2">
      <c r="B61" s="55" t="str">
        <f t="shared" si="0"/>
        <v/>
      </c>
      <c r="C61" s="56" t="str">
        <f t="shared" si="1"/>
        <v/>
      </c>
      <c r="D61" s="44" t="str">
        <f t="shared" si="2"/>
        <v/>
      </c>
      <c r="E61" s="44" t="str">
        <f t="shared" si="3"/>
        <v/>
      </c>
      <c r="F61" s="44" t="str">
        <f t="shared" si="4"/>
        <v/>
      </c>
      <c r="G61" s="44" t="str">
        <f t="shared" si="5"/>
        <v/>
      </c>
      <c r="H61" s="44" t="str">
        <f t="shared" si="6"/>
        <v/>
      </c>
      <c r="I61" s="44" t="str">
        <f t="shared" si="7"/>
        <v/>
      </c>
      <c r="J61" s="44" t="str">
        <f t="shared" si="8"/>
        <v/>
      </c>
      <c r="L61" s="52" t="str">
        <f>IF(ISNUMBER(B61)=TRUE,DR!F$25,"")</f>
        <v/>
      </c>
    </row>
    <row r="62" spans="2:12" ht="13.2">
      <c r="B62" s="62" t="str">
        <f t="shared" si="0"/>
        <v/>
      </c>
      <c r="C62" s="63" t="str">
        <f t="shared" si="1"/>
        <v/>
      </c>
      <c r="D62" s="64" t="str">
        <f t="shared" si="2"/>
        <v/>
      </c>
      <c r="E62" s="64" t="str">
        <f t="shared" si="3"/>
        <v/>
      </c>
      <c r="F62" s="64" t="str">
        <f t="shared" si="4"/>
        <v/>
      </c>
      <c r="G62" s="64" t="str">
        <f t="shared" si="5"/>
        <v/>
      </c>
      <c r="H62" s="64" t="str">
        <f t="shared" si="6"/>
        <v/>
      </c>
      <c r="I62" s="64" t="str">
        <f t="shared" si="7"/>
        <v/>
      </c>
      <c r="J62" s="64" t="str">
        <f t="shared" si="8"/>
        <v/>
      </c>
      <c r="K62" s="67"/>
      <c r="L62" s="66" t="str">
        <f>IF(ISNUMBER(B62)=TRUE,DR!F$25,"")</f>
        <v/>
      </c>
    </row>
    <row r="63" spans="2:12" ht="13.2">
      <c r="B63" s="55" t="str">
        <f t="shared" si="0"/>
        <v/>
      </c>
      <c r="C63" s="56" t="str">
        <f t="shared" si="1"/>
        <v/>
      </c>
      <c r="D63" s="44" t="str">
        <f t="shared" si="2"/>
        <v/>
      </c>
      <c r="E63" s="44" t="str">
        <f t="shared" si="3"/>
        <v/>
      </c>
      <c r="F63" s="44" t="str">
        <f t="shared" si="4"/>
        <v/>
      </c>
      <c r="G63" s="44" t="str">
        <f t="shared" si="5"/>
        <v/>
      </c>
      <c r="H63" s="44" t="str">
        <f t="shared" si="6"/>
        <v/>
      </c>
      <c r="I63" s="44" t="str">
        <f t="shared" si="7"/>
        <v/>
      </c>
      <c r="J63" s="44" t="str">
        <f t="shared" si="8"/>
        <v/>
      </c>
      <c r="L63" s="52" t="str">
        <f>IF(ISNUMBER(B63)=TRUE,DR!G$25,"")</f>
        <v/>
      </c>
    </row>
    <row r="64" spans="2:12" ht="13.2">
      <c r="B64" s="55" t="str">
        <f t="shared" si="0"/>
        <v/>
      </c>
      <c r="C64" s="56" t="str">
        <f t="shared" si="1"/>
        <v/>
      </c>
      <c r="D64" s="44" t="str">
        <f t="shared" si="2"/>
        <v/>
      </c>
      <c r="E64" s="44" t="str">
        <f t="shared" si="3"/>
        <v/>
      </c>
      <c r="F64" s="44" t="str">
        <f t="shared" si="4"/>
        <v/>
      </c>
      <c r="G64" s="44" t="str">
        <f t="shared" si="5"/>
        <v/>
      </c>
      <c r="H64" s="44" t="str">
        <f t="shared" si="6"/>
        <v/>
      </c>
      <c r="I64" s="44" t="str">
        <f t="shared" si="7"/>
        <v/>
      </c>
      <c r="J64" s="44" t="str">
        <f t="shared" si="8"/>
        <v/>
      </c>
      <c r="L64" s="52" t="str">
        <f>IF(ISNUMBER(B64)=TRUE,DR!G$25,"")</f>
        <v/>
      </c>
    </row>
    <row r="65" spans="2:12" ht="13.2">
      <c r="B65" s="55" t="str">
        <f t="shared" si="0"/>
        <v/>
      </c>
      <c r="C65" s="56" t="str">
        <f t="shared" si="1"/>
        <v/>
      </c>
      <c r="D65" s="44" t="str">
        <f t="shared" si="2"/>
        <v/>
      </c>
      <c r="E65" s="44" t="str">
        <f t="shared" si="3"/>
        <v/>
      </c>
      <c r="F65" s="44" t="str">
        <f t="shared" si="4"/>
        <v/>
      </c>
      <c r="G65" s="44" t="str">
        <f t="shared" si="5"/>
        <v/>
      </c>
      <c r="H65" s="44" t="str">
        <f t="shared" si="6"/>
        <v/>
      </c>
      <c r="I65" s="44" t="str">
        <f t="shared" si="7"/>
        <v/>
      </c>
      <c r="J65" s="44" t="str">
        <f t="shared" si="8"/>
        <v/>
      </c>
      <c r="L65" s="52" t="str">
        <f>IF(ISNUMBER(B65)=TRUE,DR!G$25,"")</f>
        <v/>
      </c>
    </row>
    <row r="66" spans="2:12" ht="13.2">
      <c r="B66" s="55" t="str">
        <f t="shared" si="0"/>
        <v/>
      </c>
      <c r="C66" s="56" t="str">
        <f t="shared" si="1"/>
        <v/>
      </c>
      <c r="D66" s="44" t="str">
        <f t="shared" si="2"/>
        <v/>
      </c>
      <c r="E66" s="44" t="str">
        <f t="shared" si="3"/>
        <v/>
      </c>
      <c r="F66" s="44" t="str">
        <f t="shared" si="4"/>
        <v/>
      </c>
      <c r="G66" s="44" t="str">
        <f t="shared" si="5"/>
        <v/>
      </c>
      <c r="H66" s="44" t="str">
        <f t="shared" si="6"/>
        <v/>
      </c>
      <c r="I66" s="44" t="str">
        <f t="shared" si="7"/>
        <v/>
      </c>
      <c r="J66" s="44" t="str">
        <f t="shared" si="8"/>
        <v/>
      </c>
      <c r="L66" s="52" t="str">
        <f>IF(ISNUMBER(B66)=TRUE,DR!G$25,"")</f>
        <v/>
      </c>
    </row>
    <row r="67" spans="2:12" ht="13.2">
      <c r="B67" s="55" t="str">
        <f t="shared" si="0"/>
        <v/>
      </c>
      <c r="C67" s="56" t="str">
        <f t="shared" si="1"/>
        <v/>
      </c>
      <c r="D67" s="44" t="str">
        <f t="shared" si="2"/>
        <v/>
      </c>
      <c r="E67" s="44" t="str">
        <f t="shared" si="3"/>
        <v/>
      </c>
      <c r="F67" s="44" t="str">
        <f t="shared" si="4"/>
        <v/>
      </c>
      <c r="G67" s="44" t="str">
        <f t="shared" si="5"/>
        <v/>
      </c>
      <c r="H67" s="44" t="str">
        <f t="shared" si="6"/>
        <v/>
      </c>
      <c r="I67" s="44" t="str">
        <f t="shared" si="7"/>
        <v/>
      </c>
      <c r="J67" s="44" t="str">
        <f t="shared" si="8"/>
        <v/>
      </c>
      <c r="L67" s="52" t="str">
        <f>IF(ISNUMBER(B67)=TRUE,DR!G$25,"")</f>
        <v/>
      </c>
    </row>
    <row r="68" spans="2:12" ht="13.2">
      <c r="B68" s="55" t="str">
        <f t="shared" si="0"/>
        <v/>
      </c>
      <c r="C68" s="56" t="str">
        <f t="shared" si="1"/>
        <v/>
      </c>
      <c r="D68" s="44" t="str">
        <f t="shared" si="2"/>
        <v/>
      </c>
      <c r="E68" s="44" t="str">
        <f t="shared" si="3"/>
        <v/>
      </c>
      <c r="F68" s="44" t="str">
        <f t="shared" si="4"/>
        <v/>
      </c>
      <c r="G68" s="44" t="str">
        <f t="shared" si="5"/>
        <v/>
      </c>
      <c r="H68" s="44" t="str">
        <f t="shared" si="6"/>
        <v/>
      </c>
      <c r="I68" s="44" t="str">
        <f t="shared" si="7"/>
        <v/>
      </c>
      <c r="J68" s="44" t="str">
        <f t="shared" si="8"/>
        <v/>
      </c>
      <c r="L68" s="52" t="str">
        <f>IF(ISNUMBER(B68)=TRUE,DR!G$25,"")</f>
        <v/>
      </c>
    </row>
    <row r="69" spans="2:12" ht="13.2">
      <c r="B69" s="55" t="str">
        <f t="shared" si="0"/>
        <v/>
      </c>
      <c r="C69" s="56" t="str">
        <f t="shared" si="1"/>
        <v/>
      </c>
      <c r="D69" s="44" t="str">
        <f t="shared" si="2"/>
        <v/>
      </c>
      <c r="E69" s="44" t="str">
        <f t="shared" si="3"/>
        <v/>
      </c>
      <c r="F69" s="44" t="str">
        <f t="shared" si="4"/>
        <v/>
      </c>
      <c r="G69" s="44" t="str">
        <f t="shared" si="5"/>
        <v/>
      </c>
      <c r="H69" s="44" t="str">
        <f t="shared" si="6"/>
        <v/>
      </c>
      <c r="I69" s="44" t="str">
        <f t="shared" si="7"/>
        <v/>
      </c>
      <c r="J69" s="44" t="str">
        <f t="shared" si="8"/>
        <v/>
      </c>
      <c r="L69" s="52" t="str">
        <f>IF(ISNUMBER(B69)=TRUE,DR!G$25,"")</f>
        <v/>
      </c>
    </row>
    <row r="70" spans="2:12" ht="13.2">
      <c r="B70" s="55" t="str">
        <f t="shared" si="0"/>
        <v/>
      </c>
      <c r="C70" s="56" t="str">
        <f t="shared" si="1"/>
        <v/>
      </c>
      <c r="D70" s="44" t="str">
        <f t="shared" si="2"/>
        <v/>
      </c>
      <c r="E70" s="44" t="str">
        <f t="shared" si="3"/>
        <v/>
      </c>
      <c r="F70" s="44" t="str">
        <f t="shared" si="4"/>
        <v/>
      </c>
      <c r="G70" s="44" t="str">
        <f t="shared" si="5"/>
        <v/>
      </c>
      <c r="H70" s="44" t="str">
        <f t="shared" si="6"/>
        <v/>
      </c>
      <c r="I70" s="44" t="str">
        <f t="shared" si="7"/>
        <v/>
      </c>
      <c r="J70" s="44" t="str">
        <f t="shared" si="8"/>
        <v/>
      </c>
      <c r="L70" s="52" t="str">
        <f>IF(ISNUMBER(B70)=TRUE,DR!G$25,"")</f>
        <v/>
      </c>
    </row>
    <row r="71" spans="2:12" ht="13.2">
      <c r="B71" s="55" t="str">
        <f t="shared" si="0"/>
        <v/>
      </c>
      <c r="C71" s="56" t="str">
        <f t="shared" si="1"/>
        <v/>
      </c>
      <c r="D71" s="44" t="str">
        <f t="shared" si="2"/>
        <v/>
      </c>
      <c r="E71" s="44" t="str">
        <f t="shared" si="3"/>
        <v/>
      </c>
      <c r="F71" s="44" t="str">
        <f t="shared" si="4"/>
        <v/>
      </c>
      <c r="G71" s="44" t="str">
        <f t="shared" si="5"/>
        <v/>
      </c>
      <c r="H71" s="44" t="str">
        <f t="shared" si="6"/>
        <v/>
      </c>
      <c r="I71" s="44" t="str">
        <f t="shared" si="7"/>
        <v/>
      </c>
      <c r="J71" s="44" t="str">
        <f t="shared" si="8"/>
        <v/>
      </c>
      <c r="L71" s="52" t="str">
        <f>IF(ISNUMBER(B71)=TRUE,DR!G$25,"")</f>
        <v/>
      </c>
    </row>
    <row r="72" spans="2:12" ht="13.2">
      <c r="B72" s="55" t="str">
        <f t="shared" si="0"/>
        <v/>
      </c>
      <c r="C72" s="56" t="str">
        <f t="shared" si="1"/>
        <v/>
      </c>
      <c r="D72" s="44" t="str">
        <f t="shared" si="2"/>
        <v/>
      </c>
      <c r="E72" s="44" t="str">
        <f t="shared" si="3"/>
        <v/>
      </c>
      <c r="F72" s="44" t="str">
        <f t="shared" si="4"/>
        <v/>
      </c>
      <c r="G72" s="44" t="str">
        <f t="shared" si="5"/>
        <v/>
      </c>
      <c r="H72" s="44" t="str">
        <f t="shared" si="6"/>
        <v/>
      </c>
      <c r="I72" s="44" t="str">
        <f t="shared" si="7"/>
        <v/>
      </c>
      <c r="J72" s="44" t="str">
        <f t="shared" si="8"/>
        <v/>
      </c>
      <c r="L72" s="52" t="str">
        <f>IF(ISNUMBER(B72)=TRUE,DR!G$25,"")</f>
        <v/>
      </c>
    </row>
    <row r="73" spans="2:12" ht="13.2">
      <c r="B73" s="55" t="str">
        <f t="shared" si="0"/>
        <v/>
      </c>
      <c r="C73" s="56" t="str">
        <f t="shared" si="1"/>
        <v/>
      </c>
      <c r="D73" s="44" t="str">
        <f t="shared" si="2"/>
        <v/>
      </c>
      <c r="E73" s="44" t="str">
        <f t="shared" si="3"/>
        <v/>
      </c>
      <c r="F73" s="44" t="str">
        <f t="shared" si="4"/>
        <v/>
      </c>
      <c r="G73" s="44" t="str">
        <f t="shared" si="5"/>
        <v/>
      </c>
      <c r="H73" s="44" t="str">
        <f t="shared" si="6"/>
        <v/>
      </c>
      <c r="I73" s="44" t="str">
        <f t="shared" si="7"/>
        <v/>
      </c>
      <c r="J73" s="44" t="str">
        <f t="shared" si="8"/>
        <v/>
      </c>
      <c r="L73" s="52" t="str">
        <f>IF(ISNUMBER(B73)=TRUE,DR!G$25,"")</f>
        <v/>
      </c>
    </row>
    <row r="74" spans="2:12" ht="13.2">
      <c r="B74" s="62" t="str">
        <f t="shared" si="0"/>
        <v/>
      </c>
      <c r="C74" s="63" t="str">
        <f t="shared" si="1"/>
        <v/>
      </c>
      <c r="D74" s="64" t="str">
        <f t="shared" si="2"/>
        <v/>
      </c>
      <c r="E74" s="64" t="str">
        <f t="shared" si="3"/>
        <v/>
      </c>
      <c r="F74" s="64" t="str">
        <f t="shared" si="4"/>
        <v/>
      </c>
      <c r="G74" s="64" t="str">
        <f t="shared" si="5"/>
        <v/>
      </c>
      <c r="H74" s="64" t="str">
        <f t="shared" si="6"/>
        <v/>
      </c>
      <c r="I74" s="64" t="str">
        <f t="shared" si="7"/>
        <v/>
      </c>
      <c r="J74" s="64" t="str">
        <f t="shared" si="8"/>
        <v/>
      </c>
      <c r="K74" s="67"/>
      <c r="L74" s="66" t="str">
        <f>IF(ISNUMBER(B74)=TRUE,DR!G$25,"")</f>
        <v/>
      </c>
    </row>
    <row r="75" spans="2:12" ht="13.2">
      <c r="B75" s="55" t="str">
        <f t="shared" si="0"/>
        <v/>
      </c>
      <c r="C75" s="56" t="str">
        <f t="shared" si="1"/>
        <v/>
      </c>
      <c r="D75" s="44" t="str">
        <f t="shared" si="2"/>
        <v/>
      </c>
      <c r="E75" s="44" t="str">
        <f t="shared" si="3"/>
        <v/>
      </c>
      <c r="F75" s="44" t="str">
        <f t="shared" si="4"/>
        <v/>
      </c>
      <c r="G75" s="44" t="str">
        <f t="shared" si="5"/>
        <v/>
      </c>
      <c r="H75" s="44" t="str">
        <f t="shared" si="6"/>
        <v/>
      </c>
      <c r="I75" s="44" t="str">
        <f t="shared" si="7"/>
        <v/>
      </c>
      <c r="J75" s="44" t="str">
        <f t="shared" si="8"/>
        <v/>
      </c>
      <c r="L75" s="52" t="str">
        <f>IF(ISNUMBER(B75)=TRUE,DR!H$25,"")</f>
        <v/>
      </c>
    </row>
    <row r="76" spans="2:12" ht="13.2">
      <c r="B76" s="55" t="str">
        <f t="shared" si="0"/>
        <v/>
      </c>
      <c r="C76" s="56" t="str">
        <f t="shared" si="1"/>
        <v/>
      </c>
      <c r="D76" s="44" t="str">
        <f t="shared" si="2"/>
        <v/>
      </c>
      <c r="E76" s="44" t="str">
        <f t="shared" si="3"/>
        <v/>
      </c>
      <c r="F76" s="44" t="str">
        <f t="shared" si="4"/>
        <v/>
      </c>
      <c r="G76" s="44" t="str">
        <f t="shared" si="5"/>
        <v/>
      </c>
      <c r="H76" s="44" t="str">
        <f t="shared" si="6"/>
        <v/>
      </c>
      <c r="I76" s="44" t="str">
        <f t="shared" si="7"/>
        <v/>
      </c>
      <c r="J76" s="44" t="str">
        <f t="shared" si="8"/>
        <v/>
      </c>
      <c r="L76" s="52" t="str">
        <f>IF(ISNUMBER(B76)=TRUE,DR!H$25,"")</f>
        <v/>
      </c>
    </row>
    <row r="77" spans="2:12" ht="13.2">
      <c r="B77" s="55" t="str">
        <f t="shared" si="0"/>
        <v/>
      </c>
      <c r="C77" s="56" t="str">
        <f t="shared" si="1"/>
        <v/>
      </c>
      <c r="D77" s="44" t="str">
        <f t="shared" si="2"/>
        <v/>
      </c>
      <c r="E77" s="44" t="str">
        <f t="shared" si="3"/>
        <v/>
      </c>
      <c r="F77" s="44" t="str">
        <f t="shared" si="4"/>
        <v/>
      </c>
      <c r="G77" s="44" t="str">
        <f t="shared" si="5"/>
        <v/>
      </c>
      <c r="H77" s="44" t="str">
        <f t="shared" si="6"/>
        <v/>
      </c>
      <c r="I77" s="44" t="str">
        <f t="shared" si="7"/>
        <v/>
      </c>
      <c r="J77" s="44" t="str">
        <f t="shared" si="8"/>
        <v/>
      </c>
      <c r="L77" s="52" t="str">
        <f>IF(ISNUMBER(B77)=TRUE,DR!H$25,"")</f>
        <v/>
      </c>
    </row>
    <row r="78" spans="2:12" ht="13.2">
      <c r="B78" s="55" t="str">
        <f t="shared" si="0"/>
        <v/>
      </c>
      <c r="C78" s="56" t="str">
        <f t="shared" si="1"/>
        <v/>
      </c>
      <c r="D78" s="44" t="str">
        <f t="shared" si="2"/>
        <v/>
      </c>
      <c r="E78" s="44" t="str">
        <f t="shared" si="3"/>
        <v/>
      </c>
      <c r="F78" s="44" t="str">
        <f t="shared" si="4"/>
        <v/>
      </c>
      <c r="G78" s="44" t="str">
        <f t="shared" si="5"/>
        <v/>
      </c>
      <c r="H78" s="44" t="str">
        <f t="shared" si="6"/>
        <v/>
      </c>
      <c r="I78" s="44" t="str">
        <f t="shared" si="7"/>
        <v/>
      </c>
      <c r="J78" s="44" t="str">
        <f t="shared" si="8"/>
        <v/>
      </c>
      <c r="L78" s="52" t="str">
        <f>IF(ISNUMBER(B78)=TRUE,DR!H$25,"")</f>
        <v/>
      </c>
    </row>
    <row r="79" spans="2:12" ht="13.2">
      <c r="B79" s="55" t="str">
        <f t="shared" si="0"/>
        <v/>
      </c>
      <c r="C79" s="56" t="str">
        <f t="shared" si="1"/>
        <v/>
      </c>
      <c r="D79" s="44" t="str">
        <f t="shared" si="2"/>
        <v/>
      </c>
      <c r="E79" s="44" t="str">
        <f t="shared" si="3"/>
        <v/>
      </c>
      <c r="F79" s="44" t="str">
        <f t="shared" si="4"/>
        <v/>
      </c>
      <c r="G79" s="44" t="str">
        <f t="shared" si="5"/>
        <v/>
      </c>
      <c r="H79" s="44" t="str">
        <f t="shared" si="6"/>
        <v/>
      </c>
      <c r="I79" s="44" t="str">
        <f t="shared" si="7"/>
        <v/>
      </c>
      <c r="J79" s="44" t="str">
        <f t="shared" si="8"/>
        <v/>
      </c>
      <c r="L79" s="52" t="str">
        <f>IF(ISNUMBER(B79)=TRUE,DR!H$25,"")</f>
        <v/>
      </c>
    </row>
    <row r="80" spans="2:12" ht="13.2">
      <c r="B80" s="55" t="str">
        <f t="shared" ref="B80:B143" si="9">IF(B79&lt;&gt;"",IF(B79+1&lt;=E$8*12,B79+1,""),"")</f>
        <v/>
      </c>
      <c r="C80" s="56" t="str">
        <f t="shared" ref="C80:C143" si="10">IF(ISNUMBER(B80)=TRUE,EOMONTH(C79,1),"")</f>
        <v/>
      </c>
      <c r="D80" s="44" t="str">
        <f t="shared" ref="D80:D143" si="11">IF(ISNUMBER(B80)=TRUE,D79-F79,"")</f>
        <v/>
      </c>
      <c r="E80" s="44" t="str">
        <f t="shared" ref="E80:E143" si="12">IF(ISNUMBER(B80)=TRUE,D80*$E$6/12,"")</f>
        <v/>
      </c>
      <c r="F80" s="44" t="str">
        <f t="shared" ref="F80:F143" si="13">IF(ISNUMBER(B80)=TRUE,G80-E80,"")</f>
        <v/>
      </c>
      <c r="G80" s="44" t="str">
        <f t="shared" ref="G80:G143" si="14">IF(ISNUMBER(B80)=TRUE,$E$11,"")</f>
        <v/>
      </c>
      <c r="H80" s="44" t="str">
        <f t="shared" ref="H80:H143" si="15">IF(ISNUMBER(B80)=TRUE,E80*$E$10,"")</f>
        <v/>
      </c>
      <c r="I80" s="44" t="str">
        <f t="shared" ref="I80:I143" si="16">IF(ISNUMBER(B80)=TRUE,(E80+H80+$H$14/($E$8*12))*L80,"")</f>
        <v/>
      </c>
      <c r="J80" s="44" t="str">
        <f t="shared" ref="J80:J143" si="17">IF(ISNUMBER(B80)=TRUE,-G80-H80+I80,"")</f>
        <v/>
      </c>
      <c r="L80" s="52" t="str">
        <f>IF(ISNUMBER(B80)=TRUE,DR!H$25,"")</f>
        <v/>
      </c>
    </row>
    <row r="81" spans="2:12" ht="13.2">
      <c r="B81" s="55" t="str">
        <f t="shared" si="9"/>
        <v/>
      </c>
      <c r="C81" s="56" t="str">
        <f t="shared" si="10"/>
        <v/>
      </c>
      <c r="D81" s="44" t="str">
        <f t="shared" si="11"/>
        <v/>
      </c>
      <c r="E81" s="44" t="str">
        <f t="shared" si="12"/>
        <v/>
      </c>
      <c r="F81" s="44" t="str">
        <f t="shared" si="13"/>
        <v/>
      </c>
      <c r="G81" s="44" t="str">
        <f t="shared" si="14"/>
        <v/>
      </c>
      <c r="H81" s="44" t="str">
        <f t="shared" si="15"/>
        <v/>
      </c>
      <c r="I81" s="44" t="str">
        <f t="shared" si="16"/>
        <v/>
      </c>
      <c r="J81" s="44" t="str">
        <f t="shared" si="17"/>
        <v/>
      </c>
      <c r="L81" s="52" t="str">
        <f>IF(ISNUMBER(B81)=TRUE,DR!H$25,"")</f>
        <v/>
      </c>
    </row>
    <row r="82" spans="2:12" ht="13.2">
      <c r="B82" s="55" t="str">
        <f t="shared" si="9"/>
        <v/>
      </c>
      <c r="C82" s="56" t="str">
        <f t="shared" si="10"/>
        <v/>
      </c>
      <c r="D82" s="44" t="str">
        <f t="shared" si="11"/>
        <v/>
      </c>
      <c r="E82" s="44" t="str">
        <f t="shared" si="12"/>
        <v/>
      </c>
      <c r="F82" s="44" t="str">
        <f t="shared" si="13"/>
        <v/>
      </c>
      <c r="G82" s="44" t="str">
        <f t="shared" si="14"/>
        <v/>
      </c>
      <c r="H82" s="44" t="str">
        <f t="shared" si="15"/>
        <v/>
      </c>
      <c r="I82" s="44" t="str">
        <f t="shared" si="16"/>
        <v/>
      </c>
      <c r="J82" s="44" t="str">
        <f t="shared" si="17"/>
        <v/>
      </c>
      <c r="L82" s="52" t="str">
        <f>IF(ISNUMBER(B82)=TRUE,DR!H$25,"")</f>
        <v/>
      </c>
    </row>
    <row r="83" spans="2:12" ht="13.2">
      <c r="B83" s="55" t="str">
        <f t="shared" si="9"/>
        <v/>
      </c>
      <c r="C83" s="56" t="str">
        <f t="shared" si="10"/>
        <v/>
      </c>
      <c r="D83" s="44" t="str">
        <f t="shared" si="11"/>
        <v/>
      </c>
      <c r="E83" s="44" t="str">
        <f t="shared" si="12"/>
        <v/>
      </c>
      <c r="F83" s="44" t="str">
        <f t="shared" si="13"/>
        <v/>
      </c>
      <c r="G83" s="44" t="str">
        <f t="shared" si="14"/>
        <v/>
      </c>
      <c r="H83" s="44" t="str">
        <f t="shared" si="15"/>
        <v/>
      </c>
      <c r="I83" s="44" t="str">
        <f t="shared" si="16"/>
        <v/>
      </c>
      <c r="J83" s="44" t="str">
        <f t="shared" si="17"/>
        <v/>
      </c>
      <c r="L83" s="52" t="str">
        <f>IF(ISNUMBER(B83)=TRUE,DR!H$25,"")</f>
        <v/>
      </c>
    </row>
    <row r="84" spans="2:12" ht="13.2">
      <c r="B84" s="55" t="str">
        <f t="shared" si="9"/>
        <v/>
      </c>
      <c r="C84" s="56" t="str">
        <f t="shared" si="10"/>
        <v/>
      </c>
      <c r="D84" s="44" t="str">
        <f t="shared" si="11"/>
        <v/>
      </c>
      <c r="E84" s="44" t="str">
        <f t="shared" si="12"/>
        <v/>
      </c>
      <c r="F84" s="44" t="str">
        <f t="shared" si="13"/>
        <v/>
      </c>
      <c r="G84" s="44" t="str">
        <f t="shared" si="14"/>
        <v/>
      </c>
      <c r="H84" s="44" t="str">
        <f t="shared" si="15"/>
        <v/>
      </c>
      <c r="I84" s="44" t="str">
        <f t="shared" si="16"/>
        <v/>
      </c>
      <c r="J84" s="44" t="str">
        <f t="shared" si="17"/>
        <v/>
      </c>
      <c r="L84" s="52" t="str">
        <f>IF(ISNUMBER(B84)=TRUE,DR!H$25,"")</f>
        <v/>
      </c>
    </row>
    <row r="85" spans="2:12" ht="13.2">
      <c r="B85" s="55" t="str">
        <f t="shared" si="9"/>
        <v/>
      </c>
      <c r="C85" s="56" t="str">
        <f t="shared" si="10"/>
        <v/>
      </c>
      <c r="D85" s="44" t="str">
        <f t="shared" si="11"/>
        <v/>
      </c>
      <c r="E85" s="44" t="str">
        <f t="shared" si="12"/>
        <v/>
      </c>
      <c r="F85" s="44" t="str">
        <f t="shared" si="13"/>
        <v/>
      </c>
      <c r="G85" s="44" t="str">
        <f t="shared" si="14"/>
        <v/>
      </c>
      <c r="H85" s="44" t="str">
        <f t="shared" si="15"/>
        <v/>
      </c>
      <c r="I85" s="44" t="str">
        <f t="shared" si="16"/>
        <v/>
      </c>
      <c r="J85" s="44" t="str">
        <f t="shared" si="17"/>
        <v/>
      </c>
      <c r="L85" s="52" t="str">
        <f>IF(ISNUMBER(B85)=TRUE,DR!H$25,"")</f>
        <v/>
      </c>
    </row>
    <row r="86" spans="2:12" ht="13.2">
      <c r="B86" s="62" t="str">
        <f t="shared" si="9"/>
        <v/>
      </c>
      <c r="C86" s="63" t="str">
        <f t="shared" si="10"/>
        <v/>
      </c>
      <c r="D86" s="64" t="str">
        <f t="shared" si="11"/>
        <v/>
      </c>
      <c r="E86" s="64" t="str">
        <f t="shared" si="12"/>
        <v/>
      </c>
      <c r="F86" s="64" t="str">
        <f t="shared" si="13"/>
        <v/>
      </c>
      <c r="G86" s="64" t="str">
        <f t="shared" si="14"/>
        <v/>
      </c>
      <c r="H86" s="64" t="str">
        <f t="shared" si="15"/>
        <v/>
      </c>
      <c r="I86" s="64" t="str">
        <f t="shared" si="16"/>
        <v/>
      </c>
      <c r="J86" s="64" t="str">
        <f t="shared" si="17"/>
        <v/>
      </c>
      <c r="K86" s="67"/>
      <c r="L86" s="66" t="str">
        <f>IF(ISNUMBER(B86)=TRUE,DR!H$25,"")</f>
        <v/>
      </c>
    </row>
    <row r="87" spans="2:12" ht="13.2">
      <c r="B87" s="55" t="str">
        <f t="shared" si="9"/>
        <v/>
      </c>
      <c r="C87" s="56" t="str">
        <f t="shared" si="10"/>
        <v/>
      </c>
      <c r="D87" s="44" t="str">
        <f t="shared" si="11"/>
        <v/>
      </c>
      <c r="E87" s="44" t="str">
        <f t="shared" si="12"/>
        <v/>
      </c>
      <c r="F87" s="44" t="str">
        <f t="shared" si="13"/>
        <v/>
      </c>
      <c r="G87" s="44" t="str">
        <f t="shared" si="14"/>
        <v/>
      </c>
      <c r="H87" s="44" t="str">
        <f t="shared" si="15"/>
        <v/>
      </c>
      <c r="I87" s="44" t="str">
        <f t="shared" si="16"/>
        <v/>
      </c>
      <c r="J87" s="44" t="str">
        <f t="shared" si="17"/>
        <v/>
      </c>
      <c r="L87" s="52" t="str">
        <f>IF(ISNUMBER(B87)=TRUE,DR!I$25,"")</f>
        <v/>
      </c>
    </row>
    <row r="88" spans="2:12" ht="13.2">
      <c r="B88" s="55" t="str">
        <f t="shared" si="9"/>
        <v/>
      </c>
      <c r="C88" s="56" t="str">
        <f t="shared" si="10"/>
        <v/>
      </c>
      <c r="D88" s="44" t="str">
        <f t="shared" si="11"/>
        <v/>
      </c>
      <c r="E88" s="44" t="str">
        <f t="shared" si="12"/>
        <v/>
      </c>
      <c r="F88" s="44" t="str">
        <f t="shared" si="13"/>
        <v/>
      </c>
      <c r="G88" s="44" t="str">
        <f t="shared" si="14"/>
        <v/>
      </c>
      <c r="H88" s="44" t="str">
        <f t="shared" si="15"/>
        <v/>
      </c>
      <c r="I88" s="44" t="str">
        <f t="shared" si="16"/>
        <v/>
      </c>
      <c r="J88" s="44" t="str">
        <f t="shared" si="17"/>
        <v/>
      </c>
      <c r="L88" s="52" t="str">
        <f>IF(ISNUMBER(B88)=TRUE,DR!I$25,"")</f>
        <v/>
      </c>
    </row>
    <row r="89" spans="2:12" ht="13.2">
      <c r="B89" s="55" t="str">
        <f t="shared" si="9"/>
        <v/>
      </c>
      <c r="C89" s="56" t="str">
        <f t="shared" si="10"/>
        <v/>
      </c>
      <c r="D89" s="44" t="str">
        <f t="shared" si="11"/>
        <v/>
      </c>
      <c r="E89" s="44" t="str">
        <f t="shared" si="12"/>
        <v/>
      </c>
      <c r="F89" s="44" t="str">
        <f t="shared" si="13"/>
        <v/>
      </c>
      <c r="G89" s="44" t="str">
        <f t="shared" si="14"/>
        <v/>
      </c>
      <c r="H89" s="44" t="str">
        <f t="shared" si="15"/>
        <v/>
      </c>
      <c r="I89" s="44" t="str">
        <f t="shared" si="16"/>
        <v/>
      </c>
      <c r="J89" s="44" t="str">
        <f t="shared" si="17"/>
        <v/>
      </c>
      <c r="L89" s="52" t="str">
        <f>IF(ISNUMBER(B89)=TRUE,DR!I$25,"")</f>
        <v/>
      </c>
    </row>
    <row r="90" spans="2:12" ht="13.2">
      <c r="B90" s="55" t="str">
        <f t="shared" si="9"/>
        <v/>
      </c>
      <c r="C90" s="56" t="str">
        <f t="shared" si="10"/>
        <v/>
      </c>
      <c r="D90" s="44" t="str">
        <f t="shared" si="11"/>
        <v/>
      </c>
      <c r="E90" s="44" t="str">
        <f t="shared" si="12"/>
        <v/>
      </c>
      <c r="F90" s="44" t="str">
        <f t="shared" si="13"/>
        <v/>
      </c>
      <c r="G90" s="44" t="str">
        <f t="shared" si="14"/>
        <v/>
      </c>
      <c r="H90" s="44" t="str">
        <f t="shared" si="15"/>
        <v/>
      </c>
      <c r="I90" s="44" t="str">
        <f t="shared" si="16"/>
        <v/>
      </c>
      <c r="J90" s="44" t="str">
        <f t="shared" si="17"/>
        <v/>
      </c>
      <c r="L90" s="52" t="str">
        <f>IF(ISNUMBER(B90)=TRUE,DR!I$25,"")</f>
        <v/>
      </c>
    </row>
    <row r="91" spans="2:12" ht="13.2">
      <c r="B91" s="55" t="str">
        <f t="shared" si="9"/>
        <v/>
      </c>
      <c r="C91" s="56" t="str">
        <f t="shared" si="10"/>
        <v/>
      </c>
      <c r="D91" s="44" t="str">
        <f t="shared" si="11"/>
        <v/>
      </c>
      <c r="E91" s="44" t="str">
        <f t="shared" si="12"/>
        <v/>
      </c>
      <c r="F91" s="44" t="str">
        <f t="shared" si="13"/>
        <v/>
      </c>
      <c r="G91" s="44" t="str">
        <f t="shared" si="14"/>
        <v/>
      </c>
      <c r="H91" s="44" t="str">
        <f t="shared" si="15"/>
        <v/>
      </c>
      <c r="I91" s="44" t="str">
        <f t="shared" si="16"/>
        <v/>
      </c>
      <c r="J91" s="44" t="str">
        <f t="shared" si="17"/>
        <v/>
      </c>
      <c r="L91" s="52" t="str">
        <f>IF(ISNUMBER(B91)=TRUE,DR!I$25,"")</f>
        <v/>
      </c>
    </row>
    <row r="92" spans="2:12" ht="13.2">
      <c r="B92" s="55" t="str">
        <f t="shared" si="9"/>
        <v/>
      </c>
      <c r="C92" s="56" t="str">
        <f t="shared" si="10"/>
        <v/>
      </c>
      <c r="D92" s="44" t="str">
        <f t="shared" si="11"/>
        <v/>
      </c>
      <c r="E92" s="44" t="str">
        <f t="shared" si="12"/>
        <v/>
      </c>
      <c r="F92" s="44" t="str">
        <f t="shared" si="13"/>
        <v/>
      </c>
      <c r="G92" s="44" t="str">
        <f t="shared" si="14"/>
        <v/>
      </c>
      <c r="H92" s="44" t="str">
        <f t="shared" si="15"/>
        <v/>
      </c>
      <c r="I92" s="44" t="str">
        <f t="shared" si="16"/>
        <v/>
      </c>
      <c r="J92" s="44" t="str">
        <f t="shared" si="17"/>
        <v/>
      </c>
      <c r="L92" s="52" t="str">
        <f>IF(ISNUMBER(B92)=TRUE,DR!I$25,"")</f>
        <v/>
      </c>
    </row>
    <row r="93" spans="2:12" ht="13.2">
      <c r="B93" s="55" t="str">
        <f t="shared" si="9"/>
        <v/>
      </c>
      <c r="C93" s="56" t="str">
        <f t="shared" si="10"/>
        <v/>
      </c>
      <c r="D93" s="44" t="str">
        <f t="shared" si="11"/>
        <v/>
      </c>
      <c r="E93" s="44" t="str">
        <f t="shared" si="12"/>
        <v/>
      </c>
      <c r="F93" s="44" t="str">
        <f t="shared" si="13"/>
        <v/>
      </c>
      <c r="G93" s="44" t="str">
        <f t="shared" si="14"/>
        <v/>
      </c>
      <c r="H93" s="44" t="str">
        <f t="shared" si="15"/>
        <v/>
      </c>
      <c r="I93" s="44" t="str">
        <f t="shared" si="16"/>
        <v/>
      </c>
      <c r="J93" s="44" t="str">
        <f t="shared" si="17"/>
        <v/>
      </c>
      <c r="L93" s="52" t="str">
        <f>IF(ISNUMBER(B93)=TRUE,DR!I$25,"")</f>
        <v/>
      </c>
    </row>
    <row r="94" spans="2:12" ht="13.2">
      <c r="B94" s="55" t="str">
        <f t="shared" si="9"/>
        <v/>
      </c>
      <c r="C94" s="56" t="str">
        <f t="shared" si="10"/>
        <v/>
      </c>
      <c r="D94" s="44" t="str">
        <f t="shared" si="11"/>
        <v/>
      </c>
      <c r="E94" s="44" t="str">
        <f t="shared" si="12"/>
        <v/>
      </c>
      <c r="F94" s="44" t="str">
        <f t="shared" si="13"/>
        <v/>
      </c>
      <c r="G94" s="44" t="str">
        <f t="shared" si="14"/>
        <v/>
      </c>
      <c r="H94" s="44" t="str">
        <f t="shared" si="15"/>
        <v/>
      </c>
      <c r="I94" s="44" t="str">
        <f t="shared" si="16"/>
        <v/>
      </c>
      <c r="J94" s="44" t="str">
        <f t="shared" si="17"/>
        <v/>
      </c>
      <c r="L94" s="52" t="str">
        <f>IF(ISNUMBER(B94)=TRUE,DR!I$25,"")</f>
        <v/>
      </c>
    </row>
    <row r="95" spans="2:12" ht="13.2">
      <c r="B95" s="55" t="str">
        <f t="shared" si="9"/>
        <v/>
      </c>
      <c r="C95" s="56" t="str">
        <f t="shared" si="10"/>
        <v/>
      </c>
      <c r="D95" s="44" t="str">
        <f t="shared" si="11"/>
        <v/>
      </c>
      <c r="E95" s="44" t="str">
        <f t="shared" si="12"/>
        <v/>
      </c>
      <c r="F95" s="44" t="str">
        <f t="shared" si="13"/>
        <v/>
      </c>
      <c r="G95" s="44" t="str">
        <f t="shared" si="14"/>
        <v/>
      </c>
      <c r="H95" s="44" t="str">
        <f t="shared" si="15"/>
        <v/>
      </c>
      <c r="I95" s="44" t="str">
        <f t="shared" si="16"/>
        <v/>
      </c>
      <c r="J95" s="44" t="str">
        <f t="shared" si="17"/>
        <v/>
      </c>
      <c r="L95" s="52" t="str">
        <f>IF(ISNUMBER(B95)=TRUE,DR!I$25,"")</f>
        <v/>
      </c>
    </row>
    <row r="96" spans="2:12" ht="13.2">
      <c r="B96" s="55" t="str">
        <f t="shared" si="9"/>
        <v/>
      </c>
      <c r="C96" s="56" t="str">
        <f t="shared" si="10"/>
        <v/>
      </c>
      <c r="D96" s="44" t="str">
        <f t="shared" si="11"/>
        <v/>
      </c>
      <c r="E96" s="44" t="str">
        <f t="shared" si="12"/>
        <v/>
      </c>
      <c r="F96" s="44" t="str">
        <f t="shared" si="13"/>
        <v/>
      </c>
      <c r="G96" s="44" t="str">
        <f t="shared" si="14"/>
        <v/>
      </c>
      <c r="H96" s="44" t="str">
        <f t="shared" si="15"/>
        <v/>
      </c>
      <c r="I96" s="44" t="str">
        <f t="shared" si="16"/>
        <v/>
      </c>
      <c r="J96" s="44" t="str">
        <f t="shared" si="17"/>
        <v/>
      </c>
      <c r="L96" s="52" t="str">
        <f>IF(ISNUMBER(B96)=TRUE,DR!I$25,"")</f>
        <v/>
      </c>
    </row>
    <row r="97" spans="2:12" ht="13.2">
      <c r="B97" s="55" t="str">
        <f t="shared" si="9"/>
        <v/>
      </c>
      <c r="C97" s="56" t="str">
        <f t="shared" si="10"/>
        <v/>
      </c>
      <c r="D97" s="44" t="str">
        <f t="shared" si="11"/>
        <v/>
      </c>
      <c r="E97" s="44" t="str">
        <f t="shared" si="12"/>
        <v/>
      </c>
      <c r="F97" s="44" t="str">
        <f t="shared" si="13"/>
        <v/>
      </c>
      <c r="G97" s="44" t="str">
        <f t="shared" si="14"/>
        <v/>
      </c>
      <c r="H97" s="44" t="str">
        <f t="shared" si="15"/>
        <v/>
      </c>
      <c r="I97" s="44" t="str">
        <f t="shared" si="16"/>
        <v/>
      </c>
      <c r="J97" s="44" t="str">
        <f t="shared" si="17"/>
        <v/>
      </c>
      <c r="L97" s="52" t="str">
        <f>IF(ISNUMBER(B97)=TRUE,DR!I$25,"")</f>
        <v/>
      </c>
    </row>
    <row r="98" spans="2:12" ht="13.2">
      <c r="B98" s="62" t="str">
        <f t="shared" si="9"/>
        <v/>
      </c>
      <c r="C98" s="63" t="str">
        <f t="shared" si="10"/>
        <v/>
      </c>
      <c r="D98" s="64" t="str">
        <f t="shared" si="11"/>
        <v/>
      </c>
      <c r="E98" s="64" t="str">
        <f t="shared" si="12"/>
        <v/>
      </c>
      <c r="F98" s="64" t="str">
        <f t="shared" si="13"/>
        <v/>
      </c>
      <c r="G98" s="64" t="str">
        <f t="shared" si="14"/>
        <v/>
      </c>
      <c r="H98" s="64" t="str">
        <f t="shared" si="15"/>
        <v/>
      </c>
      <c r="I98" s="64" t="str">
        <f t="shared" si="16"/>
        <v/>
      </c>
      <c r="J98" s="64" t="str">
        <f t="shared" si="17"/>
        <v/>
      </c>
      <c r="K98" s="67"/>
      <c r="L98" s="66" t="str">
        <f>IF(ISNUMBER(B98)=TRUE,DR!I$25,"")</f>
        <v/>
      </c>
    </row>
    <row r="99" spans="2:12" ht="13.2">
      <c r="B99" s="55" t="str">
        <f t="shared" si="9"/>
        <v/>
      </c>
      <c r="C99" s="56" t="str">
        <f t="shared" si="10"/>
        <v/>
      </c>
      <c r="D99" s="44" t="str">
        <f t="shared" si="11"/>
        <v/>
      </c>
      <c r="E99" s="44" t="str">
        <f t="shared" si="12"/>
        <v/>
      </c>
      <c r="F99" s="44" t="str">
        <f t="shared" si="13"/>
        <v/>
      </c>
      <c r="G99" s="44" t="str">
        <f t="shared" si="14"/>
        <v/>
      </c>
      <c r="H99" s="44" t="str">
        <f t="shared" si="15"/>
        <v/>
      </c>
      <c r="I99" s="44" t="str">
        <f t="shared" si="16"/>
        <v/>
      </c>
      <c r="J99" s="44" t="str">
        <f t="shared" si="17"/>
        <v/>
      </c>
      <c r="L99" s="52" t="str">
        <f>IF(ISNUMBER(B99)=TRUE,DR!J$25,"")</f>
        <v/>
      </c>
    </row>
    <row r="100" spans="2:12" ht="13.2">
      <c r="B100" s="55" t="str">
        <f t="shared" si="9"/>
        <v/>
      </c>
      <c r="C100" s="56" t="str">
        <f t="shared" si="10"/>
        <v/>
      </c>
      <c r="D100" s="44" t="str">
        <f t="shared" si="11"/>
        <v/>
      </c>
      <c r="E100" s="44" t="str">
        <f t="shared" si="12"/>
        <v/>
      </c>
      <c r="F100" s="44" t="str">
        <f t="shared" si="13"/>
        <v/>
      </c>
      <c r="G100" s="44" t="str">
        <f t="shared" si="14"/>
        <v/>
      </c>
      <c r="H100" s="44" t="str">
        <f t="shared" si="15"/>
        <v/>
      </c>
      <c r="I100" s="44" t="str">
        <f t="shared" si="16"/>
        <v/>
      </c>
      <c r="J100" s="44" t="str">
        <f t="shared" si="17"/>
        <v/>
      </c>
      <c r="L100" s="52" t="str">
        <f>IF(ISNUMBER(B100)=TRUE,DR!J$25,"")</f>
        <v/>
      </c>
    </row>
    <row r="101" spans="2:12" ht="13.2">
      <c r="B101" s="55" t="str">
        <f t="shared" si="9"/>
        <v/>
      </c>
      <c r="C101" s="56" t="str">
        <f t="shared" si="10"/>
        <v/>
      </c>
      <c r="D101" s="44" t="str">
        <f t="shared" si="11"/>
        <v/>
      </c>
      <c r="E101" s="44" t="str">
        <f t="shared" si="12"/>
        <v/>
      </c>
      <c r="F101" s="44" t="str">
        <f t="shared" si="13"/>
        <v/>
      </c>
      <c r="G101" s="44" t="str">
        <f t="shared" si="14"/>
        <v/>
      </c>
      <c r="H101" s="44" t="str">
        <f t="shared" si="15"/>
        <v/>
      </c>
      <c r="I101" s="44" t="str">
        <f t="shared" si="16"/>
        <v/>
      </c>
      <c r="J101" s="44" t="str">
        <f t="shared" si="17"/>
        <v/>
      </c>
      <c r="L101" s="52" t="str">
        <f>IF(ISNUMBER(B101)=TRUE,DR!J$25,"")</f>
        <v/>
      </c>
    </row>
    <row r="102" spans="2:12" ht="13.2">
      <c r="B102" s="55" t="str">
        <f t="shared" si="9"/>
        <v/>
      </c>
      <c r="C102" s="56" t="str">
        <f t="shared" si="10"/>
        <v/>
      </c>
      <c r="D102" s="44" t="str">
        <f t="shared" si="11"/>
        <v/>
      </c>
      <c r="E102" s="44" t="str">
        <f t="shared" si="12"/>
        <v/>
      </c>
      <c r="F102" s="44" t="str">
        <f t="shared" si="13"/>
        <v/>
      </c>
      <c r="G102" s="44" t="str">
        <f t="shared" si="14"/>
        <v/>
      </c>
      <c r="H102" s="44" t="str">
        <f t="shared" si="15"/>
        <v/>
      </c>
      <c r="I102" s="44" t="str">
        <f t="shared" si="16"/>
        <v/>
      </c>
      <c r="J102" s="44" t="str">
        <f t="shared" si="17"/>
        <v/>
      </c>
      <c r="L102" s="52" t="str">
        <f>IF(ISNUMBER(B102)=TRUE,DR!J$25,"")</f>
        <v/>
      </c>
    </row>
    <row r="103" spans="2:12" ht="13.2">
      <c r="B103" s="55" t="str">
        <f t="shared" si="9"/>
        <v/>
      </c>
      <c r="C103" s="56" t="str">
        <f t="shared" si="10"/>
        <v/>
      </c>
      <c r="D103" s="44" t="str">
        <f t="shared" si="11"/>
        <v/>
      </c>
      <c r="E103" s="44" t="str">
        <f t="shared" si="12"/>
        <v/>
      </c>
      <c r="F103" s="44" t="str">
        <f t="shared" si="13"/>
        <v/>
      </c>
      <c r="G103" s="44" t="str">
        <f t="shared" si="14"/>
        <v/>
      </c>
      <c r="H103" s="44" t="str">
        <f t="shared" si="15"/>
        <v/>
      </c>
      <c r="I103" s="44" t="str">
        <f t="shared" si="16"/>
        <v/>
      </c>
      <c r="J103" s="44" t="str">
        <f t="shared" si="17"/>
        <v/>
      </c>
      <c r="L103" s="52" t="str">
        <f>IF(ISNUMBER(B103)=TRUE,DR!J$25,"")</f>
        <v/>
      </c>
    </row>
    <row r="104" spans="2:12" ht="13.2">
      <c r="B104" s="55" t="str">
        <f t="shared" si="9"/>
        <v/>
      </c>
      <c r="C104" s="56" t="str">
        <f t="shared" si="10"/>
        <v/>
      </c>
      <c r="D104" s="44" t="str">
        <f t="shared" si="11"/>
        <v/>
      </c>
      <c r="E104" s="44" t="str">
        <f t="shared" si="12"/>
        <v/>
      </c>
      <c r="F104" s="44" t="str">
        <f t="shared" si="13"/>
        <v/>
      </c>
      <c r="G104" s="44" t="str">
        <f t="shared" si="14"/>
        <v/>
      </c>
      <c r="H104" s="44" t="str">
        <f t="shared" si="15"/>
        <v/>
      </c>
      <c r="I104" s="44" t="str">
        <f t="shared" si="16"/>
        <v/>
      </c>
      <c r="J104" s="44" t="str">
        <f t="shared" si="17"/>
        <v/>
      </c>
      <c r="L104" s="52" t="str">
        <f>IF(ISNUMBER(B104)=TRUE,DR!J$25,"")</f>
        <v/>
      </c>
    </row>
    <row r="105" spans="2:12" ht="13.2">
      <c r="B105" s="55" t="str">
        <f t="shared" si="9"/>
        <v/>
      </c>
      <c r="C105" s="56" t="str">
        <f t="shared" si="10"/>
        <v/>
      </c>
      <c r="D105" s="44" t="str">
        <f t="shared" si="11"/>
        <v/>
      </c>
      <c r="E105" s="44" t="str">
        <f t="shared" si="12"/>
        <v/>
      </c>
      <c r="F105" s="44" t="str">
        <f t="shared" si="13"/>
        <v/>
      </c>
      <c r="G105" s="44" t="str">
        <f t="shared" si="14"/>
        <v/>
      </c>
      <c r="H105" s="44" t="str">
        <f t="shared" si="15"/>
        <v/>
      </c>
      <c r="I105" s="44" t="str">
        <f t="shared" si="16"/>
        <v/>
      </c>
      <c r="J105" s="44" t="str">
        <f t="shared" si="17"/>
        <v/>
      </c>
      <c r="L105" s="52" t="str">
        <f>IF(ISNUMBER(B105)=TRUE,DR!J$25,"")</f>
        <v/>
      </c>
    </row>
    <row r="106" spans="2:12" ht="13.2">
      <c r="B106" s="55" t="str">
        <f t="shared" si="9"/>
        <v/>
      </c>
      <c r="C106" s="56" t="str">
        <f t="shared" si="10"/>
        <v/>
      </c>
      <c r="D106" s="44" t="str">
        <f t="shared" si="11"/>
        <v/>
      </c>
      <c r="E106" s="44" t="str">
        <f t="shared" si="12"/>
        <v/>
      </c>
      <c r="F106" s="44" t="str">
        <f t="shared" si="13"/>
        <v/>
      </c>
      <c r="G106" s="44" t="str">
        <f t="shared" si="14"/>
        <v/>
      </c>
      <c r="H106" s="44" t="str">
        <f t="shared" si="15"/>
        <v/>
      </c>
      <c r="I106" s="44" t="str">
        <f t="shared" si="16"/>
        <v/>
      </c>
      <c r="J106" s="44" t="str">
        <f t="shared" si="17"/>
        <v/>
      </c>
      <c r="L106" s="52" t="str">
        <f>IF(ISNUMBER(B106)=TRUE,DR!J$25,"")</f>
        <v/>
      </c>
    </row>
    <row r="107" spans="2:12" ht="13.2">
      <c r="B107" s="55" t="str">
        <f t="shared" si="9"/>
        <v/>
      </c>
      <c r="C107" s="56" t="str">
        <f t="shared" si="10"/>
        <v/>
      </c>
      <c r="D107" s="44" t="str">
        <f t="shared" si="11"/>
        <v/>
      </c>
      <c r="E107" s="44" t="str">
        <f t="shared" si="12"/>
        <v/>
      </c>
      <c r="F107" s="44" t="str">
        <f t="shared" si="13"/>
        <v/>
      </c>
      <c r="G107" s="44" t="str">
        <f t="shared" si="14"/>
        <v/>
      </c>
      <c r="H107" s="44" t="str">
        <f t="shared" si="15"/>
        <v/>
      </c>
      <c r="I107" s="44" t="str">
        <f t="shared" si="16"/>
        <v/>
      </c>
      <c r="J107" s="44" t="str">
        <f t="shared" si="17"/>
        <v/>
      </c>
      <c r="L107" s="52" t="str">
        <f>IF(ISNUMBER(B107)=TRUE,DR!J$25,"")</f>
        <v/>
      </c>
    </row>
    <row r="108" spans="2:12" ht="13.2">
      <c r="B108" s="55" t="str">
        <f t="shared" si="9"/>
        <v/>
      </c>
      <c r="C108" s="56" t="str">
        <f t="shared" si="10"/>
        <v/>
      </c>
      <c r="D108" s="44" t="str">
        <f t="shared" si="11"/>
        <v/>
      </c>
      <c r="E108" s="44" t="str">
        <f t="shared" si="12"/>
        <v/>
      </c>
      <c r="F108" s="44" t="str">
        <f t="shared" si="13"/>
        <v/>
      </c>
      <c r="G108" s="44" t="str">
        <f t="shared" si="14"/>
        <v/>
      </c>
      <c r="H108" s="44" t="str">
        <f t="shared" si="15"/>
        <v/>
      </c>
      <c r="I108" s="44" t="str">
        <f t="shared" si="16"/>
        <v/>
      </c>
      <c r="J108" s="44" t="str">
        <f t="shared" si="17"/>
        <v/>
      </c>
      <c r="L108" s="52" t="str">
        <f>IF(ISNUMBER(B108)=TRUE,DR!J$25,"")</f>
        <v/>
      </c>
    </row>
    <row r="109" spans="2:12" ht="13.2">
      <c r="B109" s="55" t="str">
        <f t="shared" si="9"/>
        <v/>
      </c>
      <c r="C109" s="56" t="str">
        <f t="shared" si="10"/>
        <v/>
      </c>
      <c r="D109" s="44" t="str">
        <f t="shared" si="11"/>
        <v/>
      </c>
      <c r="E109" s="44" t="str">
        <f t="shared" si="12"/>
        <v/>
      </c>
      <c r="F109" s="44" t="str">
        <f t="shared" si="13"/>
        <v/>
      </c>
      <c r="G109" s="44" t="str">
        <f t="shared" si="14"/>
        <v/>
      </c>
      <c r="H109" s="44" t="str">
        <f t="shared" si="15"/>
        <v/>
      </c>
      <c r="I109" s="44" t="str">
        <f t="shared" si="16"/>
        <v/>
      </c>
      <c r="J109" s="44" t="str">
        <f t="shared" si="17"/>
        <v/>
      </c>
      <c r="L109" s="52" t="str">
        <f>IF(ISNUMBER(B109)=TRUE,DR!J$25,"")</f>
        <v/>
      </c>
    </row>
    <row r="110" spans="2:12" ht="13.2">
      <c r="B110" s="62" t="str">
        <f t="shared" si="9"/>
        <v/>
      </c>
      <c r="C110" s="63" t="str">
        <f t="shared" si="10"/>
        <v/>
      </c>
      <c r="D110" s="64" t="str">
        <f t="shared" si="11"/>
        <v/>
      </c>
      <c r="E110" s="64" t="str">
        <f t="shared" si="12"/>
        <v/>
      </c>
      <c r="F110" s="64" t="str">
        <f t="shared" si="13"/>
        <v/>
      </c>
      <c r="G110" s="64" t="str">
        <f t="shared" si="14"/>
        <v/>
      </c>
      <c r="H110" s="64" t="str">
        <f t="shared" si="15"/>
        <v/>
      </c>
      <c r="I110" s="64" t="str">
        <f t="shared" si="16"/>
        <v/>
      </c>
      <c r="J110" s="64" t="str">
        <f t="shared" si="17"/>
        <v/>
      </c>
      <c r="K110" s="67"/>
      <c r="L110" s="66" t="str">
        <f>IF(ISNUMBER(B110)=TRUE,DR!J$25,"")</f>
        <v/>
      </c>
    </row>
    <row r="111" spans="2:12" ht="13.2">
      <c r="B111" s="55" t="str">
        <f t="shared" si="9"/>
        <v/>
      </c>
      <c r="C111" s="56" t="str">
        <f t="shared" si="10"/>
        <v/>
      </c>
      <c r="D111" s="44" t="str">
        <f t="shared" si="11"/>
        <v/>
      </c>
      <c r="E111" s="44" t="str">
        <f t="shared" si="12"/>
        <v/>
      </c>
      <c r="F111" s="44" t="str">
        <f t="shared" si="13"/>
        <v/>
      </c>
      <c r="G111" s="44" t="str">
        <f t="shared" si="14"/>
        <v/>
      </c>
      <c r="H111" s="44" t="str">
        <f t="shared" si="15"/>
        <v/>
      </c>
      <c r="I111" s="44" t="str">
        <f t="shared" si="16"/>
        <v/>
      </c>
      <c r="J111" s="44" t="str">
        <f t="shared" si="17"/>
        <v/>
      </c>
      <c r="L111" s="52" t="str">
        <f>IF(ISNUMBER(B111)=TRUE,DR!K$25,"")</f>
        <v/>
      </c>
    </row>
    <row r="112" spans="2:12" ht="13.2">
      <c r="B112" s="55" t="str">
        <f t="shared" si="9"/>
        <v/>
      </c>
      <c r="C112" s="56" t="str">
        <f t="shared" si="10"/>
        <v/>
      </c>
      <c r="D112" s="44" t="str">
        <f t="shared" si="11"/>
        <v/>
      </c>
      <c r="E112" s="44" t="str">
        <f t="shared" si="12"/>
        <v/>
      </c>
      <c r="F112" s="44" t="str">
        <f t="shared" si="13"/>
        <v/>
      </c>
      <c r="G112" s="44" t="str">
        <f t="shared" si="14"/>
        <v/>
      </c>
      <c r="H112" s="44" t="str">
        <f t="shared" si="15"/>
        <v/>
      </c>
      <c r="I112" s="44" t="str">
        <f t="shared" si="16"/>
        <v/>
      </c>
      <c r="J112" s="44" t="str">
        <f t="shared" si="17"/>
        <v/>
      </c>
      <c r="L112" s="52" t="str">
        <f>IF(ISNUMBER(B112)=TRUE,DR!K$25,"")</f>
        <v/>
      </c>
    </row>
    <row r="113" spans="2:12" ht="13.2">
      <c r="B113" s="55" t="str">
        <f t="shared" si="9"/>
        <v/>
      </c>
      <c r="C113" s="56" t="str">
        <f t="shared" si="10"/>
        <v/>
      </c>
      <c r="D113" s="44" t="str">
        <f t="shared" si="11"/>
        <v/>
      </c>
      <c r="E113" s="44" t="str">
        <f t="shared" si="12"/>
        <v/>
      </c>
      <c r="F113" s="44" t="str">
        <f t="shared" si="13"/>
        <v/>
      </c>
      <c r="G113" s="44" t="str">
        <f t="shared" si="14"/>
        <v/>
      </c>
      <c r="H113" s="44" t="str">
        <f t="shared" si="15"/>
        <v/>
      </c>
      <c r="I113" s="44" t="str">
        <f t="shared" si="16"/>
        <v/>
      </c>
      <c r="J113" s="44" t="str">
        <f t="shared" si="17"/>
        <v/>
      </c>
      <c r="L113" s="52" t="str">
        <f>IF(ISNUMBER(B113)=TRUE,DR!K$25,"")</f>
        <v/>
      </c>
    </row>
    <row r="114" spans="2:12" ht="13.2">
      <c r="B114" s="55" t="str">
        <f t="shared" si="9"/>
        <v/>
      </c>
      <c r="C114" s="56" t="str">
        <f t="shared" si="10"/>
        <v/>
      </c>
      <c r="D114" s="44" t="str">
        <f t="shared" si="11"/>
        <v/>
      </c>
      <c r="E114" s="44" t="str">
        <f t="shared" si="12"/>
        <v/>
      </c>
      <c r="F114" s="44" t="str">
        <f t="shared" si="13"/>
        <v/>
      </c>
      <c r="G114" s="44" t="str">
        <f t="shared" si="14"/>
        <v/>
      </c>
      <c r="H114" s="44" t="str">
        <f t="shared" si="15"/>
        <v/>
      </c>
      <c r="I114" s="44" t="str">
        <f t="shared" si="16"/>
        <v/>
      </c>
      <c r="J114" s="44" t="str">
        <f t="shared" si="17"/>
        <v/>
      </c>
      <c r="L114" s="52" t="str">
        <f>IF(ISNUMBER(B114)=TRUE,DR!K$25,"")</f>
        <v/>
      </c>
    </row>
    <row r="115" spans="2:12" ht="13.2">
      <c r="B115" s="55" t="str">
        <f t="shared" si="9"/>
        <v/>
      </c>
      <c r="C115" s="56" t="str">
        <f t="shared" si="10"/>
        <v/>
      </c>
      <c r="D115" s="44" t="str">
        <f t="shared" si="11"/>
        <v/>
      </c>
      <c r="E115" s="44" t="str">
        <f t="shared" si="12"/>
        <v/>
      </c>
      <c r="F115" s="44" t="str">
        <f t="shared" si="13"/>
        <v/>
      </c>
      <c r="G115" s="44" t="str">
        <f t="shared" si="14"/>
        <v/>
      </c>
      <c r="H115" s="44" t="str">
        <f t="shared" si="15"/>
        <v/>
      </c>
      <c r="I115" s="44" t="str">
        <f t="shared" si="16"/>
        <v/>
      </c>
      <c r="J115" s="44" t="str">
        <f t="shared" si="17"/>
        <v/>
      </c>
      <c r="L115" s="52" t="str">
        <f>IF(ISNUMBER(B115)=TRUE,DR!K$25,"")</f>
        <v/>
      </c>
    </row>
    <row r="116" spans="2:12" ht="13.2">
      <c r="B116" s="55" t="str">
        <f t="shared" si="9"/>
        <v/>
      </c>
      <c r="C116" s="56" t="str">
        <f t="shared" si="10"/>
        <v/>
      </c>
      <c r="D116" s="44" t="str">
        <f t="shared" si="11"/>
        <v/>
      </c>
      <c r="E116" s="44" t="str">
        <f t="shared" si="12"/>
        <v/>
      </c>
      <c r="F116" s="44" t="str">
        <f t="shared" si="13"/>
        <v/>
      </c>
      <c r="G116" s="44" t="str">
        <f t="shared" si="14"/>
        <v/>
      </c>
      <c r="H116" s="44" t="str">
        <f t="shared" si="15"/>
        <v/>
      </c>
      <c r="I116" s="44" t="str">
        <f t="shared" si="16"/>
        <v/>
      </c>
      <c r="J116" s="44" t="str">
        <f t="shared" si="17"/>
        <v/>
      </c>
      <c r="L116" s="52" t="str">
        <f>IF(ISNUMBER(B116)=TRUE,DR!K$25,"")</f>
        <v/>
      </c>
    </row>
    <row r="117" spans="2:12" ht="13.2">
      <c r="B117" s="55" t="str">
        <f t="shared" si="9"/>
        <v/>
      </c>
      <c r="C117" s="56" t="str">
        <f t="shared" si="10"/>
        <v/>
      </c>
      <c r="D117" s="44" t="str">
        <f t="shared" si="11"/>
        <v/>
      </c>
      <c r="E117" s="44" t="str">
        <f t="shared" si="12"/>
        <v/>
      </c>
      <c r="F117" s="44" t="str">
        <f t="shared" si="13"/>
        <v/>
      </c>
      <c r="G117" s="44" t="str">
        <f t="shared" si="14"/>
        <v/>
      </c>
      <c r="H117" s="44" t="str">
        <f t="shared" si="15"/>
        <v/>
      </c>
      <c r="I117" s="44" t="str">
        <f t="shared" si="16"/>
        <v/>
      </c>
      <c r="J117" s="44" t="str">
        <f t="shared" si="17"/>
        <v/>
      </c>
      <c r="L117" s="52" t="str">
        <f>IF(ISNUMBER(B117)=TRUE,DR!K$25,"")</f>
        <v/>
      </c>
    </row>
    <row r="118" spans="2:12" ht="13.2">
      <c r="B118" s="55" t="str">
        <f t="shared" si="9"/>
        <v/>
      </c>
      <c r="C118" s="56" t="str">
        <f t="shared" si="10"/>
        <v/>
      </c>
      <c r="D118" s="44" t="str">
        <f t="shared" si="11"/>
        <v/>
      </c>
      <c r="E118" s="44" t="str">
        <f t="shared" si="12"/>
        <v/>
      </c>
      <c r="F118" s="44" t="str">
        <f t="shared" si="13"/>
        <v/>
      </c>
      <c r="G118" s="44" t="str">
        <f t="shared" si="14"/>
        <v/>
      </c>
      <c r="H118" s="44" t="str">
        <f t="shared" si="15"/>
        <v/>
      </c>
      <c r="I118" s="44" t="str">
        <f t="shared" si="16"/>
        <v/>
      </c>
      <c r="J118" s="44" t="str">
        <f t="shared" si="17"/>
        <v/>
      </c>
      <c r="L118" s="52" t="str">
        <f>IF(ISNUMBER(B118)=TRUE,DR!K$25,"")</f>
        <v/>
      </c>
    </row>
    <row r="119" spans="2:12" ht="13.2">
      <c r="B119" s="55" t="str">
        <f t="shared" si="9"/>
        <v/>
      </c>
      <c r="C119" s="56" t="str">
        <f t="shared" si="10"/>
        <v/>
      </c>
      <c r="D119" s="44" t="str">
        <f t="shared" si="11"/>
        <v/>
      </c>
      <c r="E119" s="44" t="str">
        <f t="shared" si="12"/>
        <v/>
      </c>
      <c r="F119" s="44" t="str">
        <f t="shared" si="13"/>
        <v/>
      </c>
      <c r="G119" s="44" t="str">
        <f t="shared" si="14"/>
        <v/>
      </c>
      <c r="H119" s="44" t="str">
        <f t="shared" si="15"/>
        <v/>
      </c>
      <c r="I119" s="44" t="str">
        <f t="shared" si="16"/>
        <v/>
      </c>
      <c r="J119" s="44" t="str">
        <f t="shared" si="17"/>
        <v/>
      </c>
      <c r="L119" s="52" t="str">
        <f>IF(ISNUMBER(B119)=TRUE,DR!K$25,"")</f>
        <v/>
      </c>
    </row>
    <row r="120" spans="2:12" ht="13.2">
      <c r="B120" s="55" t="str">
        <f t="shared" si="9"/>
        <v/>
      </c>
      <c r="C120" s="56" t="str">
        <f t="shared" si="10"/>
        <v/>
      </c>
      <c r="D120" s="44" t="str">
        <f t="shared" si="11"/>
        <v/>
      </c>
      <c r="E120" s="44" t="str">
        <f t="shared" si="12"/>
        <v/>
      </c>
      <c r="F120" s="44" t="str">
        <f t="shared" si="13"/>
        <v/>
      </c>
      <c r="G120" s="44" t="str">
        <f t="shared" si="14"/>
        <v/>
      </c>
      <c r="H120" s="44" t="str">
        <f t="shared" si="15"/>
        <v/>
      </c>
      <c r="I120" s="44" t="str">
        <f t="shared" si="16"/>
        <v/>
      </c>
      <c r="J120" s="44" t="str">
        <f t="shared" si="17"/>
        <v/>
      </c>
      <c r="L120" s="52" t="str">
        <f>IF(ISNUMBER(B120)=TRUE,DR!K$25,"")</f>
        <v/>
      </c>
    </row>
    <row r="121" spans="2:12" ht="13.2">
      <c r="B121" s="55" t="str">
        <f t="shared" si="9"/>
        <v/>
      </c>
      <c r="C121" s="56" t="str">
        <f t="shared" si="10"/>
        <v/>
      </c>
      <c r="D121" s="44" t="str">
        <f t="shared" si="11"/>
        <v/>
      </c>
      <c r="E121" s="44" t="str">
        <f t="shared" si="12"/>
        <v/>
      </c>
      <c r="F121" s="44" t="str">
        <f t="shared" si="13"/>
        <v/>
      </c>
      <c r="G121" s="44" t="str">
        <f t="shared" si="14"/>
        <v/>
      </c>
      <c r="H121" s="44" t="str">
        <f t="shared" si="15"/>
        <v/>
      </c>
      <c r="I121" s="44" t="str">
        <f t="shared" si="16"/>
        <v/>
      </c>
      <c r="J121" s="44" t="str">
        <f t="shared" si="17"/>
        <v/>
      </c>
      <c r="L121" s="52" t="str">
        <f>IF(ISNUMBER(B121)=TRUE,DR!K$25,"")</f>
        <v/>
      </c>
    </row>
    <row r="122" spans="2:12" ht="13.2">
      <c r="B122" s="62" t="str">
        <f t="shared" si="9"/>
        <v/>
      </c>
      <c r="C122" s="63" t="str">
        <f t="shared" si="10"/>
        <v/>
      </c>
      <c r="D122" s="64" t="str">
        <f t="shared" si="11"/>
        <v/>
      </c>
      <c r="E122" s="64" t="str">
        <f t="shared" si="12"/>
        <v/>
      </c>
      <c r="F122" s="64" t="str">
        <f t="shared" si="13"/>
        <v/>
      </c>
      <c r="G122" s="64" t="str">
        <f t="shared" si="14"/>
        <v/>
      </c>
      <c r="H122" s="64" t="str">
        <f t="shared" si="15"/>
        <v/>
      </c>
      <c r="I122" s="64" t="str">
        <f t="shared" si="16"/>
        <v/>
      </c>
      <c r="J122" s="64" t="str">
        <f t="shared" si="17"/>
        <v/>
      </c>
      <c r="K122" s="67"/>
      <c r="L122" s="66" t="str">
        <f>IF(ISNUMBER(B122)=TRUE,DR!K$25,"")</f>
        <v/>
      </c>
    </row>
    <row r="123" spans="2:12" ht="13.2">
      <c r="B123" s="55" t="str">
        <f t="shared" si="9"/>
        <v/>
      </c>
      <c r="C123" s="56" t="str">
        <f t="shared" si="10"/>
        <v/>
      </c>
      <c r="D123" s="44" t="str">
        <f t="shared" si="11"/>
        <v/>
      </c>
      <c r="E123" s="44" t="str">
        <f t="shared" si="12"/>
        <v/>
      </c>
      <c r="F123" s="44" t="str">
        <f t="shared" si="13"/>
        <v/>
      </c>
      <c r="G123" s="44" t="str">
        <f t="shared" si="14"/>
        <v/>
      </c>
      <c r="H123" s="44" t="str">
        <f t="shared" si="15"/>
        <v/>
      </c>
      <c r="I123" s="44" t="str">
        <f t="shared" si="16"/>
        <v/>
      </c>
      <c r="J123" s="44" t="str">
        <f t="shared" si="17"/>
        <v/>
      </c>
      <c r="L123" s="52" t="str">
        <f>IF(ISNUMBER(B123)=TRUE,DR!L$25,"")</f>
        <v/>
      </c>
    </row>
    <row r="124" spans="2:12" ht="13.2">
      <c r="B124" s="55" t="str">
        <f t="shared" si="9"/>
        <v/>
      </c>
      <c r="C124" s="56" t="str">
        <f t="shared" si="10"/>
        <v/>
      </c>
      <c r="D124" s="44" t="str">
        <f t="shared" si="11"/>
        <v/>
      </c>
      <c r="E124" s="44" t="str">
        <f t="shared" si="12"/>
        <v/>
      </c>
      <c r="F124" s="44" t="str">
        <f t="shared" si="13"/>
        <v/>
      </c>
      <c r="G124" s="44" t="str">
        <f t="shared" si="14"/>
        <v/>
      </c>
      <c r="H124" s="44" t="str">
        <f t="shared" si="15"/>
        <v/>
      </c>
      <c r="I124" s="44" t="str">
        <f t="shared" si="16"/>
        <v/>
      </c>
      <c r="J124" s="44" t="str">
        <f t="shared" si="17"/>
        <v/>
      </c>
      <c r="L124" s="52" t="str">
        <f>IF(ISNUMBER(B124)=TRUE,DR!L$25,"")</f>
        <v/>
      </c>
    </row>
    <row r="125" spans="2:12" ht="13.2">
      <c r="B125" s="55" t="str">
        <f t="shared" si="9"/>
        <v/>
      </c>
      <c r="C125" s="56" t="str">
        <f t="shared" si="10"/>
        <v/>
      </c>
      <c r="D125" s="44" t="str">
        <f t="shared" si="11"/>
        <v/>
      </c>
      <c r="E125" s="44" t="str">
        <f t="shared" si="12"/>
        <v/>
      </c>
      <c r="F125" s="44" t="str">
        <f t="shared" si="13"/>
        <v/>
      </c>
      <c r="G125" s="44" t="str">
        <f t="shared" si="14"/>
        <v/>
      </c>
      <c r="H125" s="44" t="str">
        <f t="shared" si="15"/>
        <v/>
      </c>
      <c r="I125" s="44" t="str">
        <f t="shared" si="16"/>
        <v/>
      </c>
      <c r="J125" s="44" t="str">
        <f t="shared" si="17"/>
        <v/>
      </c>
      <c r="L125" s="52" t="str">
        <f>IF(ISNUMBER(B125)=TRUE,DR!L$25,"")</f>
        <v/>
      </c>
    </row>
    <row r="126" spans="2:12" ht="13.2">
      <c r="B126" s="55" t="str">
        <f t="shared" si="9"/>
        <v/>
      </c>
      <c r="C126" s="56" t="str">
        <f t="shared" si="10"/>
        <v/>
      </c>
      <c r="D126" s="44" t="str">
        <f t="shared" si="11"/>
        <v/>
      </c>
      <c r="E126" s="44" t="str">
        <f t="shared" si="12"/>
        <v/>
      </c>
      <c r="F126" s="44" t="str">
        <f t="shared" si="13"/>
        <v/>
      </c>
      <c r="G126" s="44" t="str">
        <f t="shared" si="14"/>
        <v/>
      </c>
      <c r="H126" s="44" t="str">
        <f t="shared" si="15"/>
        <v/>
      </c>
      <c r="I126" s="44" t="str">
        <f t="shared" si="16"/>
        <v/>
      </c>
      <c r="J126" s="44" t="str">
        <f t="shared" si="17"/>
        <v/>
      </c>
      <c r="L126" s="52" t="str">
        <f>IF(ISNUMBER(B126)=TRUE,DR!L$25,"")</f>
        <v/>
      </c>
    </row>
    <row r="127" spans="2:12" ht="13.2">
      <c r="B127" s="55" t="str">
        <f t="shared" si="9"/>
        <v/>
      </c>
      <c r="C127" s="56" t="str">
        <f t="shared" si="10"/>
        <v/>
      </c>
      <c r="D127" s="44" t="str">
        <f t="shared" si="11"/>
        <v/>
      </c>
      <c r="E127" s="44" t="str">
        <f t="shared" si="12"/>
        <v/>
      </c>
      <c r="F127" s="44" t="str">
        <f t="shared" si="13"/>
        <v/>
      </c>
      <c r="G127" s="44" t="str">
        <f t="shared" si="14"/>
        <v/>
      </c>
      <c r="H127" s="44" t="str">
        <f t="shared" si="15"/>
        <v/>
      </c>
      <c r="I127" s="44" t="str">
        <f t="shared" si="16"/>
        <v/>
      </c>
      <c r="J127" s="44" t="str">
        <f t="shared" si="17"/>
        <v/>
      </c>
      <c r="L127" s="52" t="str">
        <f>IF(ISNUMBER(B127)=TRUE,DR!L$25,"")</f>
        <v/>
      </c>
    </row>
    <row r="128" spans="2:12" ht="13.2">
      <c r="B128" s="55" t="str">
        <f t="shared" si="9"/>
        <v/>
      </c>
      <c r="C128" s="56" t="str">
        <f t="shared" si="10"/>
        <v/>
      </c>
      <c r="D128" s="44" t="str">
        <f t="shared" si="11"/>
        <v/>
      </c>
      <c r="E128" s="44" t="str">
        <f t="shared" si="12"/>
        <v/>
      </c>
      <c r="F128" s="44" t="str">
        <f t="shared" si="13"/>
        <v/>
      </c>
      <c r="G128" s="44" t="str">
        <f t="shared" si="14"/>
        <v/>
      </c>
      <c r="H128" s="44" t="str">
        <f t="shared" si="15"/>
        <v/>
      </c>
      <c r="I128" s="44" t="str">
        <f t="shared" si="16"/>
        <v/>
      </c>
      <c r="J128" s="44" t="str">
        <f t="shared" si="17"/>
        <v/>
      </c>
      <c r="L128" s="52" t="str">
        <f>IF(ISNUMBER(B128)=TRUE,DR!L$25,"")</f>
        <v/>
      </c>
    </row>
    <row r="129" spans="2:12" ht="13.2">
      <c r="B129" s="55" t="str">
        <f t="shared" si="9"/>
        <v/>
      </c>
      <c r="C129" s="56" t="str">
        <f t="shared" si="10"/>
        <v/>
      </c>
      <c r="D129" s="44" t="str">
        <f t="shared" si="11"/>
        <v/>
      </c>
      <c r="E129" s="44" t="str">
        <f t="shared" si="12"/>
        <v/>
      </c>
      <c r="F129" s="44" t="str">
        <f t="shared" si="13"/>
        <v/>
      </c>
      <c r="G129" s="44" t="str">
        <f t="shared" si="14"/>
        <v/>
      </c>
      <c r="H129" s="44" t="str">
        <f t="shared" si="15"/>
        <v/>
      </c>
      <c r="I129" s="44" t="str">
        <f t="shared" si="16"/>
        <v/>
      </c>
      <c r="J129" s="44" t="str">
        <f t="shared" si="17"/>
        <v/>
      </c>
      <c r="L129" s="52" t="str">
        <f>IF(ISNUMBER(B129)=TRUE,DR!L$25,"")</f>
        <v/>
      </c>
    </row>
    <row r="130" spans="2:12" ht="13.2">
      <c r="B130" s="55" t="str">
        <f t="shared" si="9"/>
        <v/>
      </c>
      <c r="C130" s="56" t="str">
        <f t="shared" si="10"/>
        <v/>
      </c>
      <c r="D130" s="44" t="str">
        <f t="shared" si="11"/>
        <v/>
      </c>
      <c r="E130" s="44" t="str">
        <f t="shared" si="12"/>
        <v/>
      </c>
      <c r="F130" s="44" t="str">
        <f t="shared" si="13"/>
        <v/>
      </c>
      <c r="G130" s="44" t="str">
        <f t="shared" si="14"/>
        <v/>
      </c>
      <c r="H130" s="44" t="str">
        <f t="shared" si="15"/>
        <v/>
      </c>
      <c r="I130" s="44" t="str">
        <f t="shared" si="16"/>
        <v/>
      </c>
      <c r="J130" s="44" t="str">
        <f t="shared" si="17"/>
        <v/>
      </c>
      <c r="L130" s="52" t="str">
        <f>IF(ISNUMBER(B130)=TRUE,DR!L$25,"")</f>
        <v/>
      </c>
    </row>
    <row r="131" spans="2:12" ht="13.2">
      <c r="B131" s="55" t="str">
        <f t="shared" si="9"/>
        <v/>
      </c>
      <c r="C131" s="56" t="str">
        <f t="shared" si="10"/>
        <v/>
      </c>
      <c r="D131" s="44" t="str">
        <f t="shared" si="11"/>
        <v/>
      </c>
      <c r="E131" s="44" t="str">
        <f t="shared" si="12"/>
        <v/>
      </c>
      <c r="F131" s="44" t="str">
        <f t="shared" si="13"/>
        <v/>
      </c>
      <c r="G131" s="44" t="str">
        <f t="shared" si="14"/>
        <v/>
      </c>
      <c r="H131" s="44" t="str">
        <f t="shared" si="15"/>
        <v/>
      </c>
      <c r="I131" s="44" t="str">
        <f t="shared" si="16"/>
        <v/>
      </c>
      <c r="J131" s="44" t="str">
        <f t="shared" si="17"/>
        <v/>
      </c>
      <c r="L131" s="52" t="str">
        <f>IF(ISNUMBER(B131)=TRUE,DR!L$25,"")</f>
        <v/>
      </c>
    </row>
    <row r="132" spans="2:12" ht="13.2">
      <c r="B132" s="55" t="str">
        <f t="shared" si="9"/>
        <v/>
      </c>
      <c r="C132" s="56" t="str">
        <f t="shared" si="10"/>
        <v/>
      </c>
      <c r="D132" s="44" t="str">
        <f t="shared" si="11"/>
        <v/>
      </c>
      <c r="E132" s="44" t="str">
        <f t="shared" si="12"/>
        <v/>
      </c>
      <c r="F132" s="44" t="str">
        <f t="shared" si="13"/>
        <v/>
      </c>
      <c r="G132" s="44" t="str">
        <f t="shared" si="14"/>
        <v/>
      </c>
      <c r="H132" s="44" t="str">
        <f t="shared" si="15"/>
        <v/>
      </c>
      <c r="I132" s="44" t="str">
        <f t="shared" si="16"/>
        <v/>
      </c>
      <c r="J132" s="44" t="str">
        <f t="shared" si="17"/>
        <v/>
      </c>
      <c r="L132" s="52" t="str">
        <f>IF(ISNUMBER(B132)=TRUE,DR!L$25,"")</f>
        <v/>
      </c>
    </row>
    <row r="133" spans="2:12" ht="13.2">
      <c r="B133" s="55" t="str">
        <f t="shared" si="9"/>
        <v/>
      </c>
      <c r="C133" s="56" t="str">
        <f t="shared" si="10"/>
        <v/>
      </c>
      <c r="D133" s="44" t="str">
        <f t="shared" si="11"/>
        <v/>
      </c>
      <c r="E133" s="44" t="str">
        <f t="shared" si="12"/>
        <v/>
      </c>
      <c r="F133" s="44" t="str">
        <f t="shared" si="13"/>
        <v/>
      </c>
      <c r="G133" s="44" t="str">
        <f t="shared" si="14"/>
        <v/>
      </c>
      <c r="H133" s="44" t="str">
        <f t="shared" si="15"/>
        <v/>
      </c>
      <c r="I133" s="44" t="str">
        <f t="shared" si="16"/>
        <v/>
      </c>
      <c r="J133" s="44" t="str">
        <f t="shared" si="17"/>
        <v/>
      </c>
      <c r="L133" s="52" t="str">
        <f>IF(ISNUMBER(B133)=TRUE,DR!L$25,"")</f>
        <v/>
      </c>
    </row>
    <row r="134" spans="2:12" ht="13.2">
      <c r="B134" s="62" t="str">
        <f t="shared" si="9"/>
        <v/>
      </c>
      <c r="C134" s="63" t="str">
        <f t="shared" si="10"/>
        <v/>
      </c>
      <c r="D134" s="64" t="str">
        <f t="shared" si="11"/>
        <v/>
      </c>
      <c r="E134" s="64" t="str">
        <f t="shared" si="12"/>
        <v/>
      </c>
      <c r="F134" s="64" t="str">
        <f t="shared" si="13"/>
        <v/>
      </c>
      <c r="G134" s="64" t="str">
        <f t="shared" si="14"/>
        <v/>
      </c>
      <c r="H134" s="64" t="str">
        <f t="shared" si="15"/>
        <v/>
      </c>
      <c r="I134" s="64" t="str">
        <f t="shared" si="16"/>
        <v/>
      </c>
      <c r="J134" s="64" t="str">
        <f t="shared" si="17"/>
        <v/>
      </c>
      <c r="K134" s="67"/>
      <c r="L134" s="66" t="str">
        <f>IF(ISNUMBER(B134)=TRUE,DR!L$25,"")</f>
        <v/>
      </c>
    </row>
    <row r="135" spans="2:12" ht="13.2">
      <c r="B135" s="55" t="str">
        <f t="shared" si="9"/>
        <v/>
      </c>
      <c r="C135" s="56" t="str">
        <f t="shared" si="10"/>
        <v/>
      </c>
      <c r="D135" s="44" t="str">
        <f t="shared" si="11"/>
        <v/>
      </c>
      <c r="E135" s="44" t="str">
        <f t="shared" si="12"/>
        <v/>
      </c>
      <c r="F135" s="44" t="str">
        <f t="shared" si="13"/>
        <v/>
      </c>
      <c r="G135" s="44" t="str">
        <f t="shared" si="14"/>
        <v/>
      </c>
      <c r="H135" s="44" t="str">
        <f t="shared" si="15"/>
        <v/>
      </c>
      <c r="I135" s="44" t="str">
        <f t="shared" si="16"/>
        <v/>
      </c>
      <c r="J135" s="44" t="str">
        <f t="shared" si="17"/>
        <v/>
      </c>
      <c r="L135" s="52" t="str">
        <f>IF(ISNUMBER(B135)=TRUE,DR!M$25,"")</f>
        <v/>
      </c>
    </row>
    <row r="136" spans="2:12" ht="13.2">
      <c r="B136" s="55" t="str">
        <f t="shared" si="9"/>
        <v/>
      </c>
      <c r="C136" s="56" t="str">
        <f t="shared" si="10"/>
        <v/>
      </c>
      <c r="D136" s="44" t="str">
        <f t="shared" si="11"/>
        <v/>
      </c>
      <c r="E136" s="44" t="str">
        <f t="shared" si="12"/>
        <v/>
      </c>
      <c r="F136" s="44" t="str">
        <f t="shared" si="13"/>
        <v/>
      </c>
      <c r="G136" s="44" t="str">
        <f t="shared" si="14"/>
        <v/>
      </c>
      <c r="H136" s="44" t="str">
        <f t="shared" si="15"/>
        <v/>
      </c>
      <c r="I136" s="44" t="str">
        <f t="shared" si="16"/>
        <v/>
      </c>
      <c r="J136" s="44" t="str">
        <f t="shared" si="17"/>
        <v/>
      </c>
      <c r="L136" s="52" t="str">
        <f>IF(ISNUMBER(B136)=TRUE,DR!M$25,"")</f>
        <v/>
      </c>
    </row>
    <row r="137" spans="2:12" ht="13.2">
      <c r="B137" s="55" t="str">
        <f t="shared" si="9"/>
        <v/>
      </c>
      <c r="C137" s="56" t="str">
        <f t="shared" si="10"/>
        <v/>
      </c>
      <c r="D137" s="44" t="str">
        <f t="shared" si="11"/>
        <v/>
      </c>
      <c r="E137" s="44" t="str">
        <f t="shared" si="12"/>
        <v/>
      </c>
      <c r="F137" s="44" t="str">
        <f t="shared" si="13"/>
        <v/>
      </c>
      <c r="G137" s="44" t="str">
        <f t="shared" si="14"/>
        <v/>
      </c>
      <c r="H137" s="44" t="str">
        <f t="shared" si="15"/>
        <v/>
      </c>
      <c r="I137" s="44" t="str">
        <f t="shared" si="16"/>
        <v/>
      </c>
      <c r="J137" s="44" t="str">
        <f t="shared" si="17"/>
        <v/>
      </c>
      <c r="L137" s="52" t="str">
        <f>IF(ISNUMBER(B137)=TRUE,DR!M$25,"")</f>
        <v/>
      </c>
    </row>
    <row r="138" spans="2:12" ht="13.2">
      <c r="B138" s="55" t="str">
        <f t="shared" si="9"/>
        <v/>
      </c>
      <c r="C138" s="56" t="str">
        <f t="shared" si="10"/>
        <v/>
      </c>
      <c r="D138" s="44" t="str">
        <f t="shared" si="11"/>
        <v/>
      </c>
      <c r="E138" s="44" t="str">
        <f t="shared" si="12"/>
        <v/>
      </c>
      <c r="F138" s="44" t="str">
        <f t="shared" si="13"/>
        <v/>
      </c>
      <c r="G138" s="44" t="str">
        <f t="shared" si="14"/>
        <v/>
      </c>
      <c r="H138" s="44" t="str">
        <f t="shared" si="15"/>
        <v/>
      </c>
      <c r="I138" s="44" t="str">
        <f t="shared" si="16"/>
        <v/>
      </c>
      <c r="J138" s="44" t="str">
        <f t="shared" si="17"/>
        <v/>
      </c>
      <c r="L138" s="52" t="str">
        <f>IF(ISNUMBER(B138)=TRUE,DR!M$25,"")</f>
        <v/>
      </c>
    </row>
    <row r="139" spans="2:12" ht="13.2">
      <c r="B139" s="55" t="str">
        <f t="shared" si="9"/>
        <v/>
      </c>
      <c r="C139" s="56" t="str">
        <f t="shared" si="10"/>
        <v/>
      </c>
      <c r="D139" s="44" t="str">
        <f t="shared" si="11"/>
        <v/>
      </c>
      <c r="E139" s="44" t="str">
        <f t="shared" si="12"/>
        <v/>
      </c>
      <c r="F139" s="44" t="str">
        <f t="shared" si="13"/>
        <v/>
      </c>
      <c r="G139" s="44" t="str">
        <f t="shared" si="14"/>
        <v/>
      </c>
      <c r="H139" s="44" t="str">
        <f t="shared" si="15"/>
        <v/>
      </c>
      <c r="I139" s="44" t="str">
        <f t="shared" si="16"/>
        <v/>
      </c>
      <c r="J139" s="44" t="str">
        <f t="shared" si="17"/>
        <v/>
      </c>
      <c r="L139" s="52" t="str">
        <f>IF(ISNUMBER(B139)=TRUE,DR!M$25,"")</f>
        <v/>
      </c>
    </row>
    <row r="140" spans="2:12" ht="13.2">
      <c r="B140" s="55" t="str">
        <f t="shared" si="9"/>
        <v/>
      </c>
      <c r="C140" s="56" t="str">
        <f t="shared" si="10"/>
        <v/>
      </c>
      <c r="D140" s="44" t="str">
        <f t="shared" si="11"/>
        <v/>
      </c>
      <c r="E140" s="44" t="str">
        <f t="shared" si="12"/>
        <v/>
      </c>
      <c r="F140" s="44" t="str">
        <f t="shared" si="13"/>
        <v/>
      </c>
      <c r="G140" s="44" t="str">
        <f t="shared" si="14"/>
        <v/>
      </c>
      <c r="H140" s="44" t="str">
        <f t="shared" si="15"/>
        <v/>
      </c>
      <c r="I140" s="44" t="str">
        <f t="shared" si="16"/>
        <v/>
      </c>
      <c r="J140" s="44" t="str">
        <f t="shared" si="17"/>
        <v/>
      </c>
      <c r="L140" s="52" t="str">
        <f>IF(ISNUMBER(B140)=TRUE,DR!M$25,"")</f>
        <v/>
      </c>
    </row>
    <row r="141" spans="2:12" ht="13.2">
      <c r="B141" s="55" t="str">
        <f t="shared" si="9"/>
        <v/>
      </c>
      <c r="C141" s="56" t="str">
        <f t="shared" si="10"/>
        <v/>
      </c>
      <c r="D141" s="44" t="str">
        <f t="shared" si="11"/>
        <v/>
      </c>
      <c r="E141" s="44" t="str">
        <f t="shared" si="12"/>
        <v/>
      </c>
      <c r="F141" s="44" t="str">
        <f t="shared" si="13"/>
        <v/>
      </c>
      <c r="G141" s="44" t="str">
        <f t="shared" si="14"/>
        <v/>
      </c>
      <c r="H141" s="44" t="str">
        <f t="shared" si="15"/>
        <v/>
      </c>
      <c r="I141" s="44" t="str">
        <f t="shared" si="16"/>
        <v/>
      </c>
      <c r="J141" s="44" t="str">
        <f t="shared" si="17"/>
        <v/>
      </c>
      <c r="L141" s="52" t="str">
        <f>IF(ISNUMBER(B141)=TRUE,DR!M$25,"")</f>
        <v/>
      </c>
    </row>
    <row r="142" spans="2:12" ht="13.2">
      <c r="B142" s="55" t="str">
        <f t="shared" si="9"/>
        <v/>
      </c>
      <c r="C142" s="56" t="str">
        <f t="shared" si="10"/>
        <v/>
      </c>
      <c r="D142" s="44" t="str">
        <f t="shared" si="11"/>
        <v/>
      </c>
      <c r="E142" s="44" t="str">
        <f t="shared" si="12"/>
        <v/>
      </c>
      <c r="F142" s="44" t="str">
        <f t="shared" si="13"/>
        <v/>
      </c>
      <c r="G142" s="44" t="str">
        <f t="shared" si="14"/>
        <v/>
      </c>
      <c r="H142" s="44" t="str">
        <f t="shared" si="15"/>
        <v/>
      </c>
      <c r="I142" s="44" t="str">
        <f t="shared" si="16"/>
        <v/>
      </c>
      <c r="J142" s="44" t="str">
        <f t="shared" si="17"/>
        <v/>
      </c>
      <c r="L142" s="52" t="str">
        <f>IF(ISNUMBER(B142)=TRUE,DR!M$25,"")</f>
        <v/>
      </c>
    </row>
    <row r="143" spans="2:12" ht="13.2">
      <c r="B143" s="55" t="str">
        <f t="shared" si="9"/>
        <v/>
      </c>
      <c r="C143" s="56" t="str">
        <f t="shared" si="10"/>
        <v/>
      </c>
      <c r="D143" s="44" t="str">
        <f t="shared" si="11"/>
        <v/>
      </c>
      <c r="E143" s="44" t="str">
        <f t="shared" si="12"/>
        <v/>
      </c>
      <c r="F143" s="44" t="str">
        <f t="shared" si="13"/>
        <v/>
      </c>
      <c r="G143" s="44" t="str">
        <f t="shared" si="14"/>
        <v/>
      </c>
      <c r="H143" s="44" t="str">
        <f t="shared" si="15"/>
        <v/>
      </c>
      <c r="I143" s="44" t="str">
        <f t="shared" si="16"/>
        <v/>
      </c>
      <c r="J143" s="44" t="str">
        <f t="shared" si="17"/>
        <v/>
      </c>
      <c r="L143" s="52" t="str">
        <f>IF(ISNUMBER(B143)=TRUE,DR!M$25,"")</f>
        <v/>
      </c>
    </row>
    <row r="144" spans="2:12" ht="13.2">
      <c r="B144" s="55" t="str">
        <f t="shared" ref="B144:B194" si="18">IF(B143&lt;&gt;"",IF(B143+1&lt;=E$8*12,B143+1,""),"")</f>
        <v/>
      </c>
      <c r="C144" s="56" t="str">
        <f t="shared" ref="C144:C194" si="19">IF(ISNUMBER(B144)=TRUE,EOMONTH(C143,1),"")</f>
        <v/>
      </c>
      <c r="D144" s="44" t="str">
        <f t="shared" ref="D144:D194" si="20">IF(ISNUMBER(B144)=TRUE,D143-F143,"")</f>
        <v/>
      </c>
      <c r="E144" s="44" t="str">
        <f t="shared" ref="E144:E194" si="21">IF(ISNUMBER(B144)=TRUE,D144*$E$6/12,"")</f>
        <v/>
      </c>
      <c r="F144" s="44" t="str">
        <f t="shared" ref="F144:F194" si="22">IF(ISNUMBER(B144)=TRUE,G144-E144,"")</f>
        <v/>
      </c>
      <c r="G144" s="44" t="str">
        <f t="shared" ref="G144:G194" si="23">IF(ISNUMBER(B144)=TRUE,$E$11,"")</f>
        <v/>
      </c>
      <c r="H144" s="44" t="str">
        <f t="shared" ref="H144:H194" si="24">IF(ISNUMBER(B144)=TRUE,E144*$E$10,"")</f>
        <v/>
      </c>
      <c r="I144" s="44" t="str">
        <f t="shared" ref="I144:I194" si="25">IF(ISNUMBER(B144)=TRUE,(E144+H144+$H$14/($E$8*12))*L144,"")</f>
        <v/>
      </c>
      <c r="J144" s="44" t="str">
        <f t="shared" ref="J144:J194" si="26">IF(ISNUMBER(B144)=TRUE,-G144-H144+I144,"")</f>
        <v/>
      </c>
      <c r="L144" s="52" t="str">
        <f>IF(ISNUMBER(B144)=TRUE,DR!M$25,"")</f>
        <v/>
      </c>
    </row>
    <row r="145" spans="2:12" ht="13.2">
      <c r="B145" s="55" t="str">
        <f t="shared" si="18"/>
        <v/>
      </c>
      <c r="C145" s="56" t="str">
        <f t="shared" si="19"/>
        <v/>
      </c>
      <c r="D145" s="44" t="str">
        <f t="shared" si="20"/>
        <v/>
      </c>
      <c r="E145" s="44" t="str">
        <f t="shared" si="21"/>
        <v/>
      </c>
      <c r="F145" s="44" t="str">
        <f t="shared" si="22"/>
        <v/>
      </c>
      <c r="G145" s="44" t="str">
        <f t="shared" si="23"/>
        <v/>
      </c>
      <c r="H145" s="44" t="str">
        <f t="shared" si="24"/>
        <v/>
      </c>
      <c r="I145" s="44" t="str">
        <f t="shared" si="25"/>
        <v/>
      </c>
      <c r="J145" s="44" t="str">
        <f t="shared" si="26"/>
        <v/>
      </c>
      <c r="L145" s="52" t="str">
        <f>IF(ISNUMBER(B145)=TRUE,DR!M$25,"")</f>
        <v/>
      </c>
    </row>
    <row r="146" spans="2:12" ht="13.2">
      <c r="B146" s="62" t="str">
        <f t="shared" si="18"/>
        <v/>
      </c>
      <c r="C146" s="63" t="str">
        <f t="shared" si="19"/>
        <v/>
      </c>
      <c r="D146" s="64" t="str">
        <f t="shared" si="20"/>
        <v/>
      </c>
      <c r="E146" s="64" t="str">
        <f t="shared" si="21"/>
        <v/>
      </c>
      <c r="F146" s="64" t="str">
        <f t="shared" si="22"/>
        <v/>
      </c>
      <c r="G146" s="64" t="str">
        <f t="shared" si="23"/>
        <v/>
      </c>
      <c r="H146" s="64" t="str">
        <f t="shared" si="24"/>
        <v/>
      </c>
      <c r="I146" s="64" t="str">
        <f t="shared" si="25"/>
        <v/>
      </c>
      <c r="J146" s="64" t="str">
        <f t="shared" si="26"/>
        <v/>
      </c>
      <c r="K146" s="67"/>
      <c r="L146" s="66" t="str">
        <f>IF(ISNUMBER(B146)=TRUE,DR!M$25,"")</f>
        <v/>
      </c>
    </row>
    <row r="147" spans="2:12" ht="13.2">
      <c r="B147" s="55" t="str">
        <f t="shared" si="18"/>
        <v/>
      </c>
      <c r="C147" s="56" t="str">
        <f t="shared" si="19"/>
        <v/>
      </c>
      <c r="D147" s="44" t="str">
        <f t="shared" si="20"/>
        <v/>
      </c>
      <c r="E147" s="44" t="str">
        <f t="shared" si="21"/>
        <v/>
      </c>
      <c r="F147" s="44" t="str">
        <f t="shared" si="22"/>
        <v/>
      </c>
      <c r="G147" s="44" t="str">
        <f t="shared" si="23"/>
        <v/>
      </c>
      <c r="H147" s="44" t="str">
        <f t="shared" si="24"/>
        <v/>
      </c>
      <c r="I147" s="44" t="str">
        <f t="shared" si="25"/>
        <v/>
      </c>
      <c r="J147" s="44" t="str">
        <f t="shared" si="26"/>
        <v/>
      </c>
      <c r="L147" s="52" t="str">
        <f>IF(ISNUMBER(B147)=TRUE,DR!N$25,"")</f>
        <v/>
      </c>
    </row>
    <row r="148" spans="2:12" ht="13.2">
      <c r="B148" s="55" t="str">
        <f t="shared" si="18"/>
        <v/>
      </c>
      <c r="C148" s="56" t="str">
        <f t="shared" si="19"/>
        <v/>
      </c>
      <c r="D148" s="44" t="str">
        <f t="shared" si="20"/>
        <v/>
      </c>
      <c r="E148" s="44" t="str">
        <f t="shared" si="21"/>
        <v/>
      </c>
      <c r="F148" s="44" t="str">
        <f t="shared" si="22"/>
        <v/>
      </c>
      <c r="G148" s="44" t="str">
        <f t="shared" si="23"/>
        <v/>
      </c>
      <c r="H148" s="44" t="str">
        <f t="shared" si="24"/>
        <v/>
      </c>
      <c r="I148" s="44" t="str">
        <f t="shared" si="25"/>
        <v/>
      </c>
      <c r="J148" s="44" t="str">
        <f t="shared" si="26"/>
        <v/>
      </c>
      <c r="L148" s="52" t="str">
        <f>IF(ISNUMBER(B148)=TRUE,DR!N$25,"")</f>
        <v/>
      </c>
    </row>
    <row r="149" spans="2:12" ht="13.2">
      <c r="B149" s="55" t="str">
        <f t="shared" si="18"/>
        <v/>
      </c>
      <c r="C149" s="56" t="str">
        <f t="shared" si="19"/>
        <v/>
      </c>
      <c r="D149" s="44" t="str">
        <f t="shared" si="20"/>
        <v/>
      </c>
      <c r="E149" s="44" t="str">
        <f t="shared" si="21"/>
        <v/>
      </c>
      <c r="F149" s="44" t="str">
        <f t="shared" si="22"/>
        <v/>
      </c>
      <c r="G149" s="44" t="str">
        <f t="shared" si="23"/>
        <v/>
      </c>
      <c r="H149" s="44" t="str">
        <f t="shared" si="24"/>
        <v/>
      </c>
      <c r="I149" s="44" t="str">
        <f t="shared" si="25"/>
        <v/>
      </c>
      <c r="J149" s="44" t="str">
        <f t="shared" si="26"/>
        <v/>
      </c>
      <c r="L149" s="52" t="str">
        <f>IF(ISNUMBER(B149)=TRUE,DR!N$25,"")</f>
        <v/>
      </c>
    </row>
    <row r="150" spans="2:12" ht="13.2">
      <c r="B150" s="55" t="str">
        <f t="shared" si="18"/>
        <v/>
      </c>
      <c r="C150" s="56" t="str">
        <f t="shared" si="19"/>
        <v/>
      </c>
      <c r="D150" s="44" t="str">
        <f t="shared" si="20"/>
        <v/>
      </c>
      <c r="E150" s="44" t="str">
        <f t="shared" si="21"/>
        <v/>
      </c>
      <c r="F150" s="44" t="str">
        <f t="shared" si="22"/>
        <v/>
      </c>
      <c r="G150" s="44" t="str">
        <f t="shared" si="23"/>
        <v/>
      </c>
      <c r="H150" s="44" t="str">
        <f t="shared" si="24"/>
        <v/>
      </c>
      <c r="I150" s="44" t="str">
        <f t="shared" si="25"/>
        <v/>
      </c>
      <c r="J150" s="44" t="str">
        <f t="shared" si="26"/>
        <v/>
      </c>
      <c r="L150" s="52" t="str">
        <f>IF(ISNUMBER(B150)=TRUE,DR!N$25,"")</f>
        <v/>
      </c>
    </row>
    <row r="151" spans="2:12" ht="13.2">
      <c r="B151" s="55" t="str">
        <f t="shared" si="18"/>
        <v/>
      </c>
      <c r="C151" s="56" t="str">
        <f t="shared" si="19"/>
        <v/>
      </c>
      <c r="D151" s="44" t="str">
        <f t="shared" si="20"/>
        <v/>
      </c>
      <c r="E151" s="44" t="str">
        <f t="shared" si="21"/>
        <v/>
      </c>
      <c r="F151" s="44" t="str">
        <f t="shared" si="22"/>
        <v/>
      </c>
      <c r="G151" s="44" t="str">
        <f t="shared" si="23"/>
        <v/>
      </c>
      <c r="H151" s="44" t="str">
        <f t="shared" si="24"/>
        <v/>
      </c>
      <c r="I151" s="44" t="str">
        <f t="shared" si="25"/>
        <v/>
      </c>
      <c r="J151" s="44" t="str">
        <f t="shared" si="26"/>
        <v/>
      </c>
      <c r="L151" s="52" t="str">
        <f>IF(ISNUMBER(B151)=TRUE,DR!N$25,"")</f>
        <v/>
      </c>
    </row>
    <row r="152" spans="2:12" ht="13.2">
      <c r="B152" s="55" t="str">
        <f t="shared" si="18"/>
        <v/>
      </c>
      <c r="C152" s="56" t="str">
        <f t="shared" si="19"/>
        <v/>
      </c>
      <c r="D152" s="44" t="str">
        <f t="shared" si="20"/>
        <v/>
      </c>
      <c r="E152" s="44" t="str">
        <f t="shared" si="21"/>
        <v/>
      </c>
      <c r="F152" s="44" t="str">
        <f t="shared" si="22"/>
        <v/>
      </c>
      <c r="G152" s="44" t="str">
        <f t="shared" si="23"/>
        <v/>
      </c>
      <c r="H152" s="44" t="str">
        <f t="shared" si="24"/>
        <v/>
      </c>
      <c r="I152" s="44" t="str">
        <f t="shared" si="25"/>
        <v/>
      </c>
      <c r="J152" s="44" t="str">
        <f t="shared" si="26"/>
        <v/>
      </c>
      <c r="L152" s="52" t="str">
        <f>IF(ISNUMBER(B152)=TRUE,DR!N$25,"")</f>
        <v/>
      </c>
    </row>
    <row r="153" spans="2:12" ht="13.2">
      <c r="B153" s="55" t="str">
        <f t="shared" si="18"/>
        <v/>
      </c>
      <c r="C153" s="56" t="str">
        <f t="shared" si="19"/>
        <v/>
      </c>
      <c r="D153" s="44" t="str">
        <f t="shared" si="20"/>
        <v/>
      </c>
      <c r="E153" s="44" t="str">
        <f t="shared" si="21"/>
        <v/>
      </c>
      <c r="F153" s="44" t="str">
        <f t="shared" si="22"/>
        <v/>
      </c>
      <c r="G153" s="44" t="str">
        <f t="shared" si="23"/>
        <v/>
      </c>
      <c r="H153" s="44" t="str">
        <f t="shared" si="24"/>
        <v/>
      </c>
      <c r="I153" s="44" t="str">
        <f t="shared" si="25"/>
        <v/>
      </c>
      <c r="J153" s="44" t="str">
        <f t="shared" si="26"/>
        <v/>
      </c>
      <c r="L153" s="52" t="str">
        <f>IF(ISNUMBER(B153)=TRUE,DR!N$25,"")</f>
        <v/>
      </c>
    </row>
    <row r="154" spans="2:12" ht="13.2">
      <c r="B154" s="55" t="str">
        <f t="shared" si="18"/>
        <v/>
      </c>
      <c r="C154" s="56" t="str">
        <f t="shared" si="19"/>
        <v/>
      </c>
      <c r="D154" s="44" t="str">
        <f t="shared" si="20"/>
        <v/>
      </c>
      <c r="E154" s="44" t="str">
        <f t="shared" si="21"/>
        <v/>
      </c>
      <c r="F154" s="44" t="str">
        <f t="shared" si="22"/>
        <v/>
      </c>
      <c r="G154" s="44" t="str">
        <f t="shared" si="23"/>
        <v/>
      </c>
      <c r="H154" s="44" t="str">
        <f t="shared" si="24"/>
        <v/>
      </c>
      <c r="I154" s="44" t="str">
        <f t="shared" si="25"/>
        <v/>
      </c>
      <c r="J154" s="44" t="str">
        <f t="shared" si="26"/>
        <v/>
      </c>
      <c r="L154" s="52" t="str">
        <f>IF(ISNUMBER(B154)=TRUE,DR!N$25,"")</f>
        <v/>
      </c>
    </row>
    <row r="155" spans="2:12" ht="13.2">
      <c r="B155" s="55" t="str">
        <f t="shared" si="18"/>
        <v/>
      </c>
      <c r="C155" s="56" t="str">
        <f t="shared" si="19"/>
        <v/>
      </c>
      <c r="D155" s="44" t="str">
        <f t="shared" si="20"/>
        <v/>
      </c>
      <c r="E155" s="44" t="str">
        <f t="shared" si="21"/>
        <v/>
      </c>
      <c r="F155" s="44" t="str">
        <f t="shared" si="22"/>
        <v/>
      </c>
      <c r="G155" s="44" t="str">
        <f t="shared" si="23"/>
        <v/>
      </c>
      <c r="H155" s="44" t="str">
        <f t="shared" si="24"/>
        <v/>
      </c>
      <c r="I155" s="44" t="str">
        <f t="shared" si="25"/>
        <v/>
      </c>
      <c r="J155" s="44" t="str">
        <f t="shared" si="26"/>
        <v/>
      </c>
      <c r="L155" s="52" t="str">
        <f>IF(ISNUMBER(B155)=TRUE,DR!N$25,"")</f>
        <v/>
      </c>
    </row>
    <row r="156" spans="2:12" ht="13.2">
      <c r="B156" s="55" t="str">
        <f t="shared" si="18"/>
        <v/>
      </c>
      <c r="C156" s="56" t="str">
        <f t="shared" si="19"/>
        <v/>
      </c>
      <c r="D156" s="44" t="str">
        <f t="shared" si="20"/>
        <v/>
      </c>
      <c r="E156" s="44" t="str">
        <f t="shared" si="21"/>
        <v/>
      </c>
      <c r="F156" s="44" t="str">
        <f t="shared" si="22"/>
        <v/>
      </c>
      <c r="G156" s="44" t="str">
        <f t="shared" si="23"/>
        <v/>
      </c>
      <c r="H156" s="44" t="str">
        <f t="shared" si="24"/>
        <v/>
      </c>
      <c r="I156" s="44" t="str">
        <f t="shared" si="25"/>
        <v/>
      </c>
      <c r="J156" s="44" t="str">
        <f t="shared" si="26"/>
        <v/>
      </c>
      <c r="L156" s="52" t="str">
        <f>IF(ISNUMBER(B156)=TRUE,DR!N$25,"")</f>
        <v/>
      </c>
    </row>
    <row r="157" spans="2:12" ht="13.2">
      <c r="B157" s="55" t="str">
        <f t="shared" si="18"/>
        <v/>
      </c>
      <c r="C157" s="56" t="str">
        <f t="shared" si="19"/>
        <v/>
      </c>
      <c r="D157" s="44" t="str">
        <f t="shared" si="20"/>
        <v/>
      </c>
      <c r="E157" s="44" t="str">
        <f t="shared" si="21"/>
        <v/>
      </c>
      <c r="F157" s="44" t="str">
        <f t="shared" si="22"/>
        <v/>
      </c>
      <c r="G157" s="44" t="str">
        <f t="shared" si="23"/>
        <v/>
      </c>
      <c r="H157" s="44" t="str">
        <f t="shared" si="24"/>
        <v/>
      </c>
      <c r="I157" s="44" t="str">
        <f t="shared" si="25"/>
        <v/>
      </c>
      <c r="J157" s="44" t="str">
        <f t="shared" si="26"/>
        <v/>
      </c>
      <c r="L157" s="52" t="str">
        <f>IF(ISNUMBER(B157)=TRUE,DR!N$25,"")</f>
        <v/>
      </c>
    </row>
    <row r="158" spans="2:12" ht="13.2">
      <c r="B158" s="62" t="str">
        <f t="shared" si="18"/>
        <v/>
      </c>
      <c r="C158" s="63" t="str">
        <f t="shared" si="19"/>
        <v/>
      </c>
      <c r="D158" s="64" t="str">
        <f t="shared" si="20"/>
        <v/>
      </c>
      <c r="E158" s="64" t="str">
        <f t="shared" si="21"/>
        <v/>
      </c>
      <c r="F158" s="64" t="str">
        <f t="shared" si="22"/>
        <v/>
      </c>
      <c r="G158" s="64" t="str">
        <f t="shared" si="23"/>
        <v/>
      </c>
      <c r="H158" s="64" t="str">
        <f t="shared" si="24"/>
        <v/>
      </c>
      <c r="I158" s="64" t="str">
        <f t="shared" si="25"/>
        <v/>
      </c>
      <c r="J158" s="64" t="str">
        <f t="shared" si="26"/>
        <v/>
      </c>
      <c r="K158" s="67"/>
      <c r="L158" s="66" t="str">
        <f>IF(ISNUMBER(B158)=TRUE,DR!N$25,"")</f>
        <v/>
      </c>
    </row>
    <row r="159" spans="2:12" ht="13.2">
      <c r="B159" s="55" t="str">
        <f t="shared" si="18"/>
        <v/>
      </c>
      <c r="C159" s="56" t="str">
        <f t="shared" si="19"/>
        <v/>
      </c>
      <c r="D159" s="44" t="str">
        <f t="shared" si="20"/>
        <v/>
      </c>
      <c r="E159" s="44" t="str">
        <f t="shared" si="21"/>
        <v/>
      </c>
      <c r="F159" s="44" t="str">
        <f t="shared" si="22"/>
        <v/>
      </c>
      <c r="G159" s="44" t="str">
        <f t="shared" si="23"/>
        <v/>
      </c>
      <c r="H159" s="44" t="str">
        <f t="shared" si="24"/>
        <v/>
      </c>
      <c r="I159" s="44" t="str">
        <f t="shared" si="25"/>
        <v/>
      </c>
      <c r="J159" s="44" t="str">
        <f t="shared" si="26"/>
        <v/>
      </c>
      <c r="L159" s="52" t="str">
        <f>IF(ISNUMBER(B159)=TRUE,DR!O$25,"")</f>
        <v/>
      </c>
    </row>
    <row r="160" spans="2:12" ht="13.2">
      <c r="B160" s="55" t="str">
        <f t="shared" si="18"/>
        <v/>
      </c>
      <c r="C160" s="56" t="str">
        <f t="shared" si="19"/>
        <v/>
      </c>
      <c r="D160" s="44" t="str">
        <f t="shared" si="20"/>
        <v/>
      </c>
      <c r="E160" s="44" t="str">
        <f t="shared" si="21"/>
        <v/>
      </c>
      <c r="F160" s="44" t="str">
        <f t="shared" si="22"/>
        <v/>
      </c>
      <c r="G160" s="44" t="str">
        <f t="shared" si="23"/>
        <v/>
      </c>
      <c r="H160" s="44" t="str">
        <f t="shared" si="24"/>
        <v/>
      </c>
      <c r="I160" s="44" t="str">
        <f t="shared" si="25"/>
        <v/>
      </c>
      <c r="J160" s="44" t="str">
        <f t="shared" si="26"/>
        <v/>
      </c>
      <c r="L160" s="52" t="str">
        <f>IF(ISNUMBER(B160)=TRUE,DR!O$25,"")</f>
        <v/>
      </c>
    </row>
    <row r="161" spans="2:12" ht="13.2">
      <c r="B161" s="55" t="str">
        <f t="shared" si="18"/>
        <v/>
      </c>
      <c r="C161" s="56" t="str">
        <f t="shared" si="19"/>
        <v/>
      </c>
      <c r="D161" s="44" t="str">
        <f t="shared" si="20"/>
        <v/>
      </c>
      <c r="E161" s="44" t="str">
        <f t="shared" si="21"/>
        <v/>
      </c>
      <c r="F161" s="44" t="str">
        <f t="shared" si="22"/>
        <v/>
      </c>
      <c r="G161" s="44" t="str">
        <f t="shared" si="23"/>
        <v/>
      </c>
      <c r="H161" s="44" t="str">
        <f t="shared" si="24"/>
        <v/>
      </c>
      <c r="I161" s="44" t="str">
        <f t="shared" si="25"/>
        <v/>
      </c>
      <c r="J161" s="44" t="str">
        <f t="shared" si="26"/>
        <v/>
      </c>
      <c r="L161" s="52" t="str">
        <f>IF(ISNUMBER(B161)=TRUE,DR!O$25,"")</f>
        <v/>
      </c>
    </row>
    <row r="162" spans="2:12" ht="13.2">
      <c r="B162" s="55" t="str">
        <f t="shared" si="18"/>
        <v/>
      </c>
      <c r="C162" s="56" t="str">
        <f t="shared" si="19"/>
        <v/>
      </c>
      <c r="D162" s="44" t="str">
        <f t="shared" si="20"/>
        <v/>
      </c>
      <c r="E162" s="44" t="str">
        <f t="shared" si="21"/>
        <v/>
      </c>
      <c r="F162" s="44" t="str">
        <f t="shared" si="22"/>
        <v/>
      </c>
      <c r="G162" s="44" t="str">
        <f t="shared" si="23"/>
        <v/>
      </c>
      <c r="H162" s="44" t="str">
        <f t="shared" si="24"/>
        <v/>
      </c>
      <c r="I162" s="44" t="str">
        <f t="shared" si="25"/>
        <v/>
      </c>
      <c r="J162" s="44" t="str">
        <f t="shared" si="26"/>
        <v/>
      </c>
      <c r="L162" s="52" t="str">
        <f>IF(ISNUMBER(B162)=TRUE,DR!O$25,"")</f>
        <v/>
      </c>
    </row>
    <row r="163" spans="2:12" ht="13.2">
      <c r="B163" s="55" t="str">
        <f t="shared" si="18"/>
        <v/>
      </c>
      <c r="C163" s="56" t="str">
        <f t="shared" si="19"/>
        <v/>
      </c>
      <c r="D163" s="44" t="str">
        <f t="shared" si="20"/>
        <v/>
      </c>
      <c r="E163" s="44" t="str">
        <f t="shared" si="21"/>
        <v/>
      </c>
      <c r="F163" s="44" t="str">
        <f t="shared" si="22"/>
        <v/>
      </c>
      <c r="G163" s="44" t="str">
        <f t="shared" si="23"/>
        <v/>
      </c>
      <c r="H163" s="44" t="str">
        <f t="shared" si="24"/>
        <v/>
      </c>
      <c r="I163" s="44" t="str">
        <f t="shared" si="25"/>
        <v/>
      </c>
      <c r="J163" s="44" t="str">
        <f t="shared" si="26"/>
        <v/>
      </c>
      <c r="L163" s="52" t="str">
        <f>IF(ISNUMBER(B163)=TRUE,DR!O$25,"")</f>
        <v/>
      </c>
    </row>
    <row r="164" spans="2:12" ht="13.2">
      <c r="B164" s="55" t="str">
        <f t="shared" si="18"/>
        <v/>
      </c>
      <c r="C164" s="56" t="str">
        <f t="shared" si="19"/>
        <v/>
      </c>
      <c r="D164" s="44" t="str">
        <f t="shared" si="20"/>
        <v/>
      </c>
      <c r="E164" s="44" t="str">
        <f t="shared" si="21"/>
        <v/>
      </c>
      <c r="F164" s="44" t="str">
        <f t="shared" si="22"/>
        <v/>
      </c>
      <c r="G164" s="44" t="str">
        <f t="shared" si="23"/>
        <v/>
      </c>
      <c r="H164" s="44" t="str">
        <f t="shared" si="24"/>
        <v/>
      </c>
      <c r="I164" s="44" t="str">
        <f t="shared" si="25"/>
        <v/>
      </c>
      <c r="J164" s="44" t="str">
        <f t="shared" si="26"/>
        <v/>
      </c>
      <c r="L164" s="52" t="str">
        <f>IF(ISNUMBER(B164)=TRUE,DR!O$25,"")</f>
        <v/>
      </c>
    </row>
    <row r="165" spans="2:12" ht="13.2">
      <c r="B165" s="55" t="str">
        <f t="shared" si="18"/>
        <v/>
      </c>
      <c r="C165" s="56" t="str">
        <f t="shared" si="19"/>
        <v/>
      </c>
      <c r="D165" s="44" t="str">
        <f t="shared" si="20"/>
        <v/>
      </c>
      <c r="E165" s="44" t="str">
        <f t="shared" si="21"/>
        <v/>
      </c>
      <c r="F165" s="44" t="str">
        <f t="shared" si="22"/>
        <v/>
      </c>
      <c r="G165" s="44" t="str">
        <f t="shared" si="23"/>
        <v/>
      </c>
      <c r="H165" s="44" t="str">
        <f t="shared" si="24"/>
        <v/>
      </c>
      <c r="I165" s="44" t="str">
        <f t="shared" si="25"/>
        <v/>
      </c>
      <c r="J165" s="44" t="str">
        <f t="shared" si="26"/>
        <v/>
      </c>
      <c r="L165" s="52" t="str">
        <f>IF(ISNUMBER(B165)=TRUE,DR!O$25,"")</f>
        <v/>
      </c>
    </row>
    <row r="166" spans="2:12" ht="13.2">
      <c r="B166" s="55" t="str">
        <f t="shared" si="18"/>
        <v/>
      </c>
      <c r="C166" s="56" t="str">
        <f t="shared" si="19"/>
        <v/>
      </c>
      <c r="D166" s="44" t="str">
        <f t="shared" si="20"/>
        <v/>
      </c>
      <c r="E166" s="44" t="str">
        <f t="shared" si="21"/>
        <v/>
      </c>
      <c r="F166" s="44" t="str">
        <f t="shared" si="22"/>
        <v/>
      </c>
      <c r="G166" s="44" t="str">
        <f t="shared" si="23"/>
        <v/>
      </c>
      <c r="H166" s="44" t="str">
        <f t="shared" si="24"/>
        <v/>
      </c>
      <c r="I166" s="44" t="str">
        <f t="shared" si="25"/>
        <v/>
      </c>
      <c r="J166" s="44" t="str">
        <f t="shared" si="26"/>
        <v/>
      </c>
      <c r="L166" s="52" t="str">
        <f>IF(ISNUMBER(B166)=TRUE,DR!O$25,"")</f>
        <v/>
      </c>
    </row>
    <row r="167" spans="2:12" ht="13.2">
      <c r="B167" s="55" t="str">
        <f t="shared" si="18"/>
        <v/>
      </c>
      <c r="C167" s="56" t="str">
        <f t="shared" si="19"/>
        <v/>
      </c>
      <c r="D167" s="44" t="str">
        <f t="shared" si="20"/>
        <v/>
      </c>
      <c r="E167" s="44" t="str">
        <f t="shared" si="21"/>
        <v/>
      </c>
      <c r="F167" s="44" t="str">
        <f t="shared" si="22"/>
        <v/>
      </c>
      <c r="G167" s="44" t="str">
        <f t="shared" si="23"/>
        <v/>
      </c>
      <c r="H167" s="44" t="str">
        <f t="shared" si="24"/>
        <v/>
      </c>
      <c r="I167" s="44" t="str">
        <f t="shared" si="25"/>
        <v/>
      </c>
      <c r="J167" s="44" t="str">
        <f t="shared" si="26"/>
        <v/>
      </c>
      <c r="L167" s="52" t="str">
        <f>IF(ISNUMBER(B167)=TRUE,DR!O$25,"")</f>
        <v/>
      </c>
    </row>
    <row r="168" spans="2:12" ht="13.2">
      <c r="B168" s="55" t="str">
        <f t="shared" si="18"/>
        <v/>
      </c>
      <c r="C168" s="56" t="str">
        <f t="shared" si="19"/>
        <v/>
      </c>
      <c r="D168" s="44" t="str">
        <f t="shared" si="20"/>
        <v/>
      </c>
      <c r="E168" s="44" t="str">
        <f t="shared" si="21"/>
        <v/>
      </c>
      <c r="F168" s="44" t="str">
        <f t="shared" si="22"/>
        <v/>
      </c>
      <c r="G168" s="44" t="str">
        <f t="shared" si="23"/>
        <v/>
      </c>
      <c r="H168" s="44" t="str">
        <f t="shared" si="24"/>
        <v/>
      </c>
      <c r="I168" s="44" t="str">
        <f t="shared" si="25"/>
        <v/>
      </c>
      <c r="J168" s="44" t="str">
        <f t="shared" si="26"/>
        <v/>
      </c>
      <c r="L168" s="52" t="str">
        <f>IF(ISNUMBER(B168)=TRUE,DR!O$25,"")</f>
        <v/>
      </c>
    </row>
    <row r="169" spans="2:12" ht="13.2">
      <c r="B169" s="55" t="str">
        <f t="shared" si="18"/>
        <v/>
      </c>
      <c r="C169" s="56" t="str">
        <f t="shared" si="19"/>
        <v/>
      </c>
      <c r="D169" s="44" t="str">
        <f t="shared" si="20"/>
        <v/>
      </c>
      <c r="E169" s="44" t="str">
        <f t="shared" si="21"/>
        <v/>
      </c>
      <c r="F169" s="44" t="str">
        <f t="shared" si="22"/>
        <v/>
      </c>
      <c r="G169" s="44" t="str">
        <f t="shared" si="23"/>
        <v/>
      </c>
      <c r="H169" s="44" t="str">
        <f t="shared" si="24"/>
        <v/>
      </c>
      <c r="I169" s="44" t="str">
        <f t="shared" si="25"/>
        <v/>
      </c>
      <c r="J169" s="44" t="str">
        <f t="shared" si="26"/>
        <v/>
      </c>
      <c r="L169" s="52" t="str">
        <f>IF(ISNUMBER(B169)=TRUE,DR!O$25,"")</f>
        <v/>
      </c>
    </row>
    <row r="170" spans="2:12" ht="13.2">
      <c r="B170" s="62" t="str">
        <f t="shared" si="18"/>
        <v/>
      </c>
      <c r="C170" s="63" t="str">
        <f t="shared" si="19"/>
        <v/>
      </c>
      <c r="D170" s="64" t="str">
        <f t="shared" si="20"/>
        <v/>
      </c>
      <c r="E170" s="64" t="str">
        <f t="shared" si="21"/>
        <v/>
      </c>
      <c r="F170" s="64" t="str">
        <f t="shared" si="22"/>
        <v/>
      </c>
      <c r="G170" s="64" t="str">
        <f t="shared" si="23"/>
        <v/>
      </c>
      <c r="H170" s="64" t="str">
        <f t="shared" si="24"/>
        <v/>
      </c>
      <c r="I170" s="64" t="str">
        <f t="shared" si="25"/>
        <v/>
      </c>
      <c r="J170" s="64" t="str">
        <f t="shared" si="26"/>
        <v/>
      </c>
      <c r="K170" s="67"/>
      <c r="L170" s="66" t="str">
        <f>IF(ISNUMBER(B170)=TRUE,DR!O$25,"")</f>
        <v/>
      </c>
    </row>
    <row r="171" spans="2:12" ht="13.2">
      <c r="B171" s="55" t="str">
        <f t="shared" si="18"/>
        <v/>
      </c>
      <c r="C171" s="56" t="str">
        <f t="shared" si="19"/>
        <v/>
      </c>
      <c r="D171" s="44" t="str">
        <f t="shared" si="20"/>
        <v/>
      </c>
      <c r="E171" s="44" t="str">
        <f t="shared" si="21"/>
        <v/>
      </c>
      <c r="F171" s="44" t="str">
        <f t="shared" si="22"/>
        <v/>
      </c>
      <c r="G171" s="44" t="str">
        <f t="shared" si="23"/>
        <v/>
      </c>
      <c r="H171" s="44" t="str">
        <f t="shared" si="24"/>
        <v/>
      </c>
      <c r="I171" s="44" t="str">
        <f t="shared" si="25"/>
        <v/>
      </c>
      <c r="J171" s="44" t="str">
        <f t="shared" si="26"/>
        <v/>
      </c>
      <c r="L171" s="52" t="str">
        <f>IF(ISNUMBER(B171)=TRUE,DR!P$25,"")</f>
        <v/>
      </c>
    </row>
    <row r="172" spans="2:12" ht="13.2">
      <c r="B172" s="55" t="str">
        <f t="shared" si="18"/>
        <v/>
      </c>
      <c r="C172" s="56" t="str">
        <f t="shared" si="19"/>
        <v/>
      </c>
      <c r="D172" s="44" t="str">
        <f t="shared" si="20"/>
        <v/>
      </c>
      <c r="E172" s="44" t="str">
        <f t="shared" si="21"/>
        <v/>
      </c>
      <c r="F172" s="44" t="str">
        <f t="shared" si="22"/>
        <v/>
      </c>
      <c r="G172" s="44" t="str">
        <f t="shared" si="23"/>
        <v/>
      </c>
      <c r="H172" s="44" t="str">
        <f t="shared" si="24"/>
        <v/>
      </c>
      <c r="I172" s="44" t="str">
        <f t="shared" si="25"/>
        <v/>
      </c>
      <c r="J172" s="44" t="str">
        <f t="shared" si="26"/>
        <v/>
      </c>
      <c r="L172" s="52" t="str">
        <f>IF(ISNUMBER(B172)=TRUE,DR!P$25,"")</f>
        <v/>
      </c>
    </row>
    <row r="173" spans="2:12" ht="13.2">
      <c r="B173" s="55" t="str">
        <f t="shared" si="18"/>
        <v/>
      </c>
      <c r="C173" s="56" t="str">
        <f t="shared" si="19"/>
        <v/>
      </c>
      <c r="D173" s="44" t="str">
        <f t="shared" si="20"/>
        <v/>
      </c>
      <c r="E173" s="44" t="str">
        <f t="shared" si="21"/>
        <v/>
      </c>
      <c r="F173" s="44" t="str">
        <f t="shared" si="22"/>
        <v/>
      </c>
      <c r="G173" s="44" t="str">
        <f t="shared" si="23"/>
        <v/>
      </c>
      <c r="H173" s="44" t="str">
        <f t="shared" si="24"/>
        <v/>
      </c>
      <c r="I173" s="44" t="str">
        <f t="shared" si="25"/>
        <v/>
      </c>
      <c r="J173" s="44" t="str">
        <f t="shared" si="26"/>
        <v/>
      </c>
      <c r="L173" s="52" t="str">
        <f>IF(ISNUMBER(B173)=TRUE,DR!P$25,"")</f>
        <v/>
      </c>
    </row>
    <row r="174" spans="2:12" ht="13.2">
      <c r="B174" s="55" t="str">
        <f t="shared" si="18"/>
        <v/>
      </c>
      <c r="C174" s="56" t="str">
        <f t="shared" si="19"/>
        <v/>
      </c>
      <c r="D174" s="44" t="str">
        <f t="shared" si="20"/>
        <v/>
      </c>
      <c r="E174" s="44" t="str">
        <f t="shared" si="21"/>
        <v/>
      </c>
      <c r="F174" s="44" t="str">
        <f t="shared" si="22"/>
        <v/>
      </c>
      <c r="G174" s="44" t="str">
        <f t="shared" si="23"/>
        <v/>
      </c>
      <c r="H174" s="44" t="str">
        <f t="shared" si="24"/>
        <v/>
      </c>
      <c r="I174" s="44" t="str">
        <f t="shared" si="25"/>
        <v/>
      </c>
      <c r="J174" s="44" t="str">
        <f t="shared" si="26"/>
        <v/>
      </c>
      <c r="L174" s="52" t="str">
        <f>IF(ISNUMBER(B174)=TRUE,DR!P$25,"")</f>
        <v/>
      </c>
    </row>
    <row r="175" spans="2:12" ht="13.2">
      <c r="B175" s="55" t="str">
        <f t="shared" si="18"/>
        <v/>
      </c>
      <c r="C175" s="56" t="str">
        <f t="shared" si="19"/>
        <v/>
      </c>
      <c r="D175" s="44" t="str">
        <f t="shared" si="20"/>
        <v/>
      </c>
      <c r="E175" s="44" t="str">
        <f t="shared" si="21"/>
        <v/>
      </c>
      <c r="F175" s="44" t="str">
        <f t="shared" si="22"/>
        <v/>
      </c>
      <c r="G175" s="44" t="str">
        <f t="shared" si="23"/>
        <v/>
      </c>
      <c r="H175" s="44" t="str">
        <f t="shared" si="24"/>
        <v/>
      </c>
      <c r="I175" s="44" t="str">
        <f t="shared" si="25"/>
        <v/>
      </c>
      <c r="J175" s="44" t="str">
        <f t="shared" si="26"/>
        <v/>
      </c>
      <c r="L175" s="52" t="str">
        <f>IF(ISNUMBER(B175)=TRUE,DR!P$25,"")</f>
        <v/>
      </c>
    </row>
    <row r="176" spans="2:12" ht="13.2">
      <c r="B176" s="55" t="str">
        <f t="shared" si="18"/>
        <v/>
      </c>
      <c r="C176" s="56" t="str">
        <f t="shared" si="19"/>
        <v/>
      </c>
      <c r="D176" s="44" t="str">
        <f t="shared" si="20"/>
        <v/>
      </c>
      <c r="E176" s="44" t="str">
        <f t="shared" si="21"/>
        <v/>
      </c>
      <c r="F176" s="44" t="str">
        <f t="shared" si="22"/>
        <v/>
      </c>
      <c r="G176" s="44" t="str">
        <f t="shared" si="23"/>
        <v/>
      </c>
      <c r="H176" s="44" t="str">
        <f t="shared" si="24"/>
        <v/>
      </c>
      <c r="I176" s="44" t="str">
        <f t="shared" si="25"/>
        <v/>
      </c>
      <c r="J176" s="44" t="str">
        <f t="shared" si="26"/>
        <v/>
      </c>
      <c r="L176" s="52" t="str">
        <f>IF(ISNUMBER(B176)=TRUE,DR!P$25,"")</f>
        <v/>
      </c>
    </row>
    <row r="177" spans="2:12" ht="13.2">
      <c r="B177" s="55" t="str">
        <f t="shared" si="18"/>
        <v/>
      </c>
      <c r="C177" s="56" t="str">
        <f t="shared" si="19"/>
        <v/>
      </c>
      <c r="D177" s="44" t="str">
        <f t="shared" si="20"/>
        <v/>
      </c>
      <c r="E177" s="44" t="str">
        <f t="shared" si="21"/>
        <v/>
      </c>
      <c r="F177" s="44" t="str">
        <f t="shared" si="22"/>
        <v/>
      </c>
      <c r="G177" s="44" t="str">
        <f t="shared" si="23"/>
        <v/>
      </c>
      <c r="H177" s="44" t="str">
        <f t="shared" si="24"/>
        <v/>
      </c>
      <c r="I177" s="44" t="str">
        <f t="shared" si="25"/>
        <v/>
      </c>
      <c r="J177" s="44" t="str">
        <f t="shared" si="26"/>
        <v/>
      </c>
      <c r="L177" s="52" t="str">
        <f>IF(ISNUMBER(B177)=TRUE,DR!P$25,"")</f>
        <v/>
      </c>
    </row>
    <row r="178" spans="2:12" ht="13.2">
      <c r="B178" s="55" t="str">
        <f t="shared" si="18"/>
        <v/>
      </c>
      <c r="C178" s="56" t="str">
        <f t="shared" si="19"/>
        <v/>
      </c>
      <c r="D178" s="44" t="str">
        <f t="shared" si="20"/>
        <v/>
      </c>
      <c r="E178" s="44" t="str">
        <f t="shared" si="21"/>
        <v/>
      </c>
      <c r="F178" s="44" t="str">
        <f t="shared" si="22"/>
        <v/>
      </c>
      <c r="G178" s="44" t="str">
        <f t="shared" si="23"/>
        <v/>
      </c>
      <c r="H178" s="44" t="str">
        <f t="shared" si="24"/>
        <v/>
      </c>
      <c r="I178" s="44" t="str">
        <f t="shared" si="25"/>
        <v/>
      </c>
      <c r="J178" s="44" t="str">
        <f t="shared" si="26"/>
        <v/>
      </c>
      <c r="L178" s="52" t="str">
        <f>IF(ISNUMBER(B178)=TRUE,DR!P$25,"")</f>
        <v/>
      </c>
    </row>
    <row r="179" spans="2:12" ht="13.2">
      <c r="B179" s="55" t="str">
        <f t="shared" si="18"/>
        <v/>
      </c>
      <c r="C179" s="56" t="str">
        <f t="shared" si="19"/>
        <v/>
      </c>
      <c r="D179" s="44" t="str">
        <f t="shared" si="20"/>
        <v/>
      </c>
      <c r="E179" s="44" t="str">
        <f t="shared" si="21"/>
        <v/>
      </c>
      <c r="F179" s="44" t="str">
        <f t="shared" si="22"/>
        <v/>
      </c>
      <c r="G179" s="44" t="str">
        <f t="shared" si="23"/>
        <v/>
      </c>
      <c r="H179" s="44" t="str">
        <f t="shared" si="24"/>
        <v/>
      </c>
      <c r="I179" s="44" t="str">
        <f t="shared" si="25"/>
        <v/>
      </c>
      <c r="J179" s="44" t="str">
        <f t="shared" si="26"/>
        <v/>
      </c>
      <c r="L179" s="52" t="str">
        <f>IF(ISNUMBER(B179)=TRUE,DR!P$25,"")</f>
        <v/>
      </c>
    </row>
    <row r="180" spans="2:12" ht="13.2">
      <c r="B180" s="55" t="str">
        <f t="shared" si="18"/>
        <v/>
      </c>
      <c r="C180" s="56" t="str">
        <f t="shared" si="19"/>
        <v/>
      </c>
      <c r="D180" s="44" t="str">
        <f t="shared" si="20"/>
        <v/>
      </c>
      <c r="E180" s="44" t="str">
        <f t="shared" si="21"/>
        <v/>
      </c>
      <c r="F180" s="44" t="str">
        <f t="shared" si="22"/>
        <v/>
      </c>
      <c r="G180" s="44" t="str">
        <f t="shared" si="23"/>
        <v/>
      </c>
      <c r="H180" s="44" t="str">
        <f t="shared" si="24"/>
        <v/>
      </c>
      <c r="I180" s="44" t="str">
        <f t="shared" si="25"/>
        <v/>
      </c>
      <c r="J180" s="44" t="str">
        <f t="shared" si="26"/>
        <v/>
      </c>
      <c r="L180" s="52" t="str">
        <f>IF(ISNUMBER(B180)=TRUE,DR!P$25,"")</f>
        <v/>
      </c>
    </row>
    <row r="181" spans="2:12" ht="13.2">
      <c r="B181" s="55" t="str">
        <f t="shared" si="18"/>
        <v/>
      </c>
      <c r="C181" s="56" t="str">
        <f t="shared" si="19"/>
        <v/>
      </c>
      <c r="D181" s="44" t="str">
        <f t="shared" si="20"/>
        <v/>
      </c>
      <c r="E181" s="44" t="str">
        <f t="shared" si="21"/>
        <v/>
      </c>
      <c r="F181" s="44" t="str">
        <f t="shared" si="22"/>
        <v/>
      </c>
      <c r="G181" s="44" t="str">
        <f t="shared" si="23"/>
        <v/>
      </c>
      <c r="H181" s="44" t="str">
        <f t="shared" si="24"/>
        <v/>
      </c>
      <c r="I181" s="44" t="str">
        <f t="shared" si="25"/>
        <v/>
      </c>
      <c r="J181" s="44" t="str">
        <f t="shared" si="26"/>
        <v/>
      </c>
      <c r="L181" s="52" t="str">
        <f>IF(ISNUMBER(B181)=TRUE,DR!P$25,"")</f>
        <v/>
      </c>
    </row>
    <row r="182" spans="2:12" ht="13.2">
      <c r="B182" s="62" t="str">
        <f t="shared" si="18"/>
        <v/>
      </c>
      <c r="C182" s="63" t="str">
        <f t="shared" si="19"/>
        <v/>
      </c>
      <c r="D182" s="64" t="str">
        <f t="shared" si="20"/>
        <v/>
      </c>
      <c r="E182" s="64" t="str">
        <f t="shared" si="21"/>
        <v/>
      </c>
      <c r="F182" s="64" t="str">
        <f t="shared" si="22"/>
        <v/>
      </c>
      <c r="G182" s="64" t="str">
        <f t="shared" si="23"/>
        <v/>
      </c>
      <c r="H182" s="64" t="str">
        <f t="shared" si="24"/>
        <v/>
      </c>
      <c r="I182" s="64" t="str">
        <f t="shared" si="25"/>
        <v/>
      </c>
      <c r="J182" s="64" t="str">
        <f t="shared" si="26"/>
        <v/>
      </c>
      <c r="K182" s="67"/>
      <c r="L182" s="66" t="str">
        <f>IF(ISNUMBER(B182)=TRUE,DR!P$25,"")</f>
        <v/>
      </c>
    </row>
    <row r="183" spans="2:12" ht="13.2">
      <c r="B183" s="55" t="str">
        <f t="shared" si="18"/>
        <v/>
      </c>
      <c r="C183" s="56" t="str">
        <f t="shared" si="19"/>
        <v/>
      </c>
      <c r="D183" s="44" t="str">
        <f t="shared" si="20"/>
        <v/>
      </c>
      <c r="E183" s="44" t="str">
        <f t="shared" si="21"/>
        <v/>
      </c>
      <c r="F183" s="44" t="str">
        <f t="shared" si="22"/>
        <v/>
      </c>
      <c r="G183" s="44" t="str">
        <f t="shared" si="23"/>
        <v/>
      </c>
      <c r="H183" s="44" t="str">
        <f t="shared" si="24"/>
        <v/>
      </c>
      <c r="I183" s="44" t="str">
        <f t="shared" si="25"/>
        <v/>
      </c>
      <c r="J183" s="44" t="str">
        <f t="shared" si="26"/>
        <v/>
      </c>
      <c r="L183" s="52" t="str">
        <f>IF(ISNUMBER(B183)=TRUE,DR!Q$25,"")</f>
        <v/>
      </c>
    </row>
    <row r="184" spans="2:12" ht="13.2">
      <c r="B184" s="55" t="str">
        <f t="shared" si="18"/>
        <v/>
      </c>
      <c r="C184" s="56" t="str">
        <f t="shared" si="19"/>
        <v/>
      </c>
      <c r="D184" s="44" t="str">
        <f t="shared" si="20"/>
        <v/>
      </c>
      <c r="E184" s="44" t="str">
        <f t="shared" si="21"/>
        <v/>
      </c>
      <c r="F184" s="44" t="str">
        <f t="shared" si="22"/>
        <v/>
      </c>
      <c r="G184" s="44" t="str">
        <f t="shared" si="23"/>
        <v/>
      </c>
      <c r="H184" s="44" t="str">
        <f t="shared" si="24"/>
        <v/>
      </c>
      <c r="I184" s="44" t="str">
        <f t="shared" si="25"/>
        <v/>
      </c>
      <c r="J184" s="44" t="str">
        <f t="shared" si="26"/>
        <v/>
      </c>
      <c r="L184" s="52" t="str">
        <f>IF(ISNUMBER(B184)=TRUE,DR!Q$25,"")</f>
        <v/>
      </c>
    </row>
    <row r="185" spans="2:12" ht="13.2">
      <c r="B185" s="55" t="str">
        <f t="shared" si="18"/>
        <v/>
      </c>
      <c r="C185" s="56" t="str">
        <f t="shared" si="19"/>
        <v/>
      </c>
      <c r="D185" s="44" t="str">
        <f t="shared" si="20"/>
        <v/>
      </c>
      <c r="E185" s="44" t="str">
        <f t="shared" si="21"/>
        <v/>
      </c>
      <c r="F185" s="44" t="str">
        <f t="shared" si="22"/>
        <v/>
      </c>
      <c r="G185" s="44" t="str">
        <f t="shared" si="23"/>
        <v/>
      </c>
      <c r="H185" s="44" t="str">
        <f t="shared" si="24"/>
        <v/>
      </c>
      <c r="I185" s="44" t="str">
        <f t="shared" si="25"/>
        <v/>
      </c>
      <c r="J185" s="44" t="str">
        <f t="shared" si="26"/>
        <v/>
      </c>
      <c r="L185" s="52" t="str">
        <f>IF(ISNUMBER(B185)=TRUE,DR!Q$25,"")</f>
        <v/>
      </c>
    </row>
    <row r="186" spans="2:12" ht="13.2">
      <c r="B186" s="55" t="str">
        <f t="shared" si="18"/>
        <v/>
      </c>
      <c r="C186" s="56" t="str">
        <f t="shared" si="19"/>
        <v/>
      </c>
      <c r="D186" s="44" t="str">
        <f t="shared" si="20"/>
        <v/>
      </c>
      <c r="E186" s="44" t="str">
        <f t="shared" si="21"/>
        <v/>
      </c>
      <c r="F186" s="44" t="str">
        <f t="shared" si="22"/>
        <v/>
      </c>
      <c r="G186" s="44" t="str">
        <f t="shared" si="23"/>
        <v/>
      </c>
      <c r="H186" s="44" t="str">
        <f t="shared" si="24"/>
        <v/>
      </c>
      <c r="I186" s="44" t="str">
        <f t="shared" si="25"/>
        <v/>
      </c>
      <c r="J186" s="44" t="str">
        <f t="shared" si="26"/>
        <v/>
      </c>
      <c r="L186" s="52" t="str">
        <f>IF(ISNUMBER(B186)=TRUE,DR!Q$25,"")</f>
        <v/>
      </c>
    </row>
    <row r="187" spans="2:12" ht="13.2">
      <c r="B187" s="55" t="str">
        <f t="shared" si="18"/>
        <v/>
      </c>
      <c r="C187" s="56" t="str">
        <f t="shared" si="19"/>
        <v/>
      </c>
      <c r="D187" s="44" t="str">
        <f t="shared" si="20"/>
        <v/>
      </c>
      <c r="E187" s="44" t="str">
        <f t="shared" si="21"/>
        <v/>
      </c>
      <c r="F187" s="44" t="str">
        <f t="shared" si="22"/>
        <v/>
      </c>
      <c r="G187" s="44" t="str">
        <f t="shared" si="23"/>
        <v/>
      </c>
      <c r="H187" s="44" t="str">
        <f t="shared" si="24"/>
        <v/>
      </c>
      <c r="I187" s="44" t="str">
        <f t="shared" si="25"/>
        <v/>
      </c>
      <c r="J187" s="44" t="str">
        <f t="shared" si="26"/>
        <v/>
      </c>
      <c r="L187" s="52" t="str">
        <f>IF(ISNUMBER(B187)=TRUE,DR!Q$25,"")</f>
        <v/>
      </c>
    </row>
    <row r="188" spans="2:12" ht="13.2">
      <c r="B188" s="55" t="str">
        <f t="shared" si="18"/>
        <v/>
      </c>
      <c r="C188" s="56" t="str">
        <f t="shared" si="19"/>
        <v/>
      </c>
      <c r="D188" s="44" t="str">
        <f t="shared" si="20"/>
        <v/>
      </c>
      <c r="E188" s="44" t="str">
        <f t="shared" si="21"/>
        <v/>
      </c>
      <c r="F188" s="44" t="str">
        <f t="shared" si="22"/>
        <v/>
      </c>
      <c r="G188" s="44" t="str">
        <f t="shared" si="23"/>
        <v/>
      </c>
      <c r="H188" s="44" t="str">
        <f t="shared" si="24"/>
        <v/>
      </c>
      <c r="I188" s="44" t="str">
        <f t="shared" si="25"/>
        <v/>
      </c>
      <c r="J188" s="44" t="str">
        <f t="shared" si="26"/>
        <v/>
      </c>
      <c r="L188" s="52" t="str">
        <f>IF(ISNUMBER(B188)=TRUE,DR!Q$25,"")</f>
        <v/>
      </c>
    </row>
    <row r="189" spans="2:12" ht="13.2">
      <c r="B189" s="55" t="str">
        <f t="shared" si="18"/>
        <v/>
      </c>
      <c r="C189" s="56" t="str">
        <f t="shared" si="19"/>
        <v/>
      </c>
      <c r="D189" s="44" t="str">
        <f t="shared" si="20"/>
        <v/>
      </c>
      <c r="E189" s="44" t="str">
        <f t="shared" si="21"/>
        <v/>
      </c>
      <c r="F189" s="44" t="str">
        <f t="shared" si="22"/>
        <v/>
      </c>
      <c r="G189" s="44" t="str">
        <f t="shared" si="23"/>
        <v/>
      </c>
      <c r="H189" s="44" t="str">
        <f t="shared" si="24"/>
        <v/>
      </c>
      <c r="I189" s="44" t="str">
        <f t="shared" si="25"/>
        <v/>
      </c>
      <c r="J189" s="44" t="str">
        <f t="shared" si="26"/>
        <v/>
      </c>
      <c r="L189" s="52" t="str">
        <f>IF(ISNUMBER(B189)=TRUE,DR!Q$25,"")</f>
        <v/>
      </c>
    </row>
    <row r="190" spans="2:12" ht="13.2">
      <c r="B190" s="55" t="str">
        <f t="shared" si="18"/>
        <v/>
      </c>
      <c r="C190" s="56" t="str">
        <f t="shared" si="19"/>
        <v/>
      </c>
      <c r="D190" s="44" t="str">
        <f t="shared" si="20"/>
        <v/>
      </c>
      <c r="E190" s="44" t="str">
        <f t="shared" si="21"/>
        <v/>
      </c>
      <c r="F190" s="44" t="str">
        <f t="shared" si="22"/>
        <v/>
      </c>
      <c r="G190" s="44" t="str">
        <f t="shared" si="23"/>
        <v/>
      </c>
      <c r="H190" s="44" t="str">
        <f t="shared" si="24"/>
        <v/>
      </c>
      <c r="I190" s="44" t="str">
        <f t="shared" si="25"/>
        <v/>
      </c>
      <c r="J190" s="44" t="str">
        <f t="shared" si="26"/>
        <v/>
      </c>
      <c r="L190" s="52" t="str">
        <f>IF(ISNUMBER(B190)=TRUE,DR!Q$25,"")</f>
        <v/>
      </c>
    </row>
    <row r="191" spans="2:12" ht="13.2">
      <c r="B191" s="55" t="str">
        <f t="shared" si="18"/>
        <v/>
      </c>
      <c r="C191" s="56" t="str">
        <f t="shared" si="19"/>
        <v/>
      </c>
      <c r="D191" s="44" t="str">
        <f t="shared" si="20"/>
        <v/>
      </c>
      <c r="E191" s="44" t="str">
        <f t="shared" si="21"/>
        <v/>
      </c>
      <c r="F191" s="44" t="str">
        <f t="shared" si="22"/>
        <v/>
      </c>
      <c r="G191" s="44" t="str">
        <f t="shared" si="23"/>
        <v/>
      </c>
      <c r="H191" s="44" t="str">
        <f t="shared" si="24"/>
        <v/>
      </c>
      <c r="I191" s="44" t="str">
        <f t="shared" si="25"/>
        <v/>
      </c>
      <c r="J191" s="44" t="str">
        <f t="shared" si="26"/>
        <v/>
      </c>
      <c r="L191" s="52" t="str">
        <f>IF(ISNUMBER(B191)=TRUE,DR!Q$25,"")</f>
        <v/>
      </c>
    </row>
    <row r="192" spans="2:12" ht="13.2">
      <c r="B192" s="55" t="str">
        <f t="shared" si="18"/>
        <v/>
      </c>
      <c r="C192" s="56" t="str">
        <f t="shared" si="19"/>
        <v/>
      </c>
      <c r="D192" s="44" t="str">
        <f t="shared" si="20"/>
        <v/>
      </c>
      <c r="E192" s="44" t="str">
        <f t="shared" si="21"/>
        <v/>
      </c>
      <c r="F192" s="44" t="str">
        <f t="shared" si="22"/>
        <v/>
      </c>
      <c r="G192" s="44" t="str">
        <f t="shared" si="23"/>
        <v/>
      </c>
      <c r="H192" s="44" t="str">
        <f t="shared" si="24"/>
        <v/>
      </c>
      <c r="I192" s="44" t="str">
        <f t="shared" si="25"/>
        <v/>
      </c>
      <c r="J192" s="44" t="str">
        <f t="shared" si="26"/>
        <v/>
      </c>
      <c r="L192" s="52" t="str">
        <f>IF(ISNUMBER(B192)=TRUE,DR!Q$25,"")</f>
        <v/>
      </c>
    </row>
    <row r="193" spans="2:20" ht="13.2">
      <c r="B193" s="55" t="str">
        <f t="shared" si="18"/>
        <v/>
      </c>
      <c r="C193" s="56" t="str">
        <f t="shared" si="19"/>
        <v/>
      </c>
      <c r="D193" s="44" t="str">
        <f t="shared" si="20"/>
        <v/>
      </c>
      <c r="E193" s="44" t="str">
        <f t="shared" si="21"/>
        <v/>
      </c>
      <c r="F193" s="44" t="str">
        <f t="shared" si="22"/>
        <v/>
      </c>
      <c r="G193" s="44" t="str">
        <f t="shared" si="23"/>
        <v/>
      </c>
      <c r="H193" s="44" t="str">
        <f t="shared" si="24"/>
        <v/>
      </c>
      <c r="I193" s="44" t="str">
        <f t="shared" si="25"/>
        <v/>
      </c>
      <c r="J193" s="44" t="str">
        <f t="shared" si="26"/>
        <v/>
      </c>
      <c r="L193" s="52" t="str">
        <f>IF(ISNUMBER(B193)=TRUE,DR!Q$25,"")</f>
        <v/>
      </c>
    </row>
    <row r="194" spans="2:20" ht="13.2">
      <c r="B194" s="58" t="str">
        <f t="shared" si="18"/>
        <v/>
      </c>
      <c r="C194" s="59" t="str">
        <f t="shared" si="19"/>
        <v/>
      </c>
      <c r="D194" s="60" t="str">
        <f t="shared" si="20"/>
        <v/>
      </c>
      <c r="E194" s="60" t="str">
        <f t="shared" si="21"/>
        <v/>
      </c>
      <c r="F194" s="60" t="str">
        <f t="shared" si="22"/>
        <v/>
      </c>
      <c r="G194" s="60" t="str">
        <f t="shared" si="23"/>
        <v/>
      </c>
      <c r="H194" s="60" t="str">
        <f t="shared" si="24"/>
        <v/>
      </c>
      <c r="I194" s="60" t="str">
        <f t="shared" si="25"/>
        <v/>
      </c>
      <c r="J194" s="60" t="str">
        <f t="shared" si="26"/>
        <v/>
      </c>
      <c r="K194" s="68"/>
      <c r="L194" s="69" t="str">
        <f>IF(ISNUMBER(B194)=TRUE,DR!Q$25,"")</f>
        <v/>
      </c>
    </row>
    <row r="195" spans="2:20" s="17" customFormat="1" ht="13.2"/>
    <row r="196" spans="2:20" s="17" customFormat="1" ht="13.2"/>
    <row r="197" spans="2:20" s="17" customFormat="1" ht="13.2">
      <c r="B197" s="36"/>
      <c r="C197" s="36"/>
      <c r="D197" s="36"/>
      <c r="E197" s="26">
        <f>IF(Pressupostos!F$8=1,F197-1,"")</f>
        <v>2023</v>
      </c>
      <c r="F197" s="26">
        <f>IF(Pressupostos!F$8=1,Pressupostos!F10,"")</f>
        <v>2024</v>
      </c>
      <c r="G197" s="26">
        <f>IF(Pressupostos!G$8=1,Pressupostos!G10,"")</f>
        <v>2025</v>
      </c>
      <c r="H197" s="26" t="str">
        <f>IF(Pressupostos!H$8=1,Pressupostos!H10,"")</f>
        <v/>
      </c>
      <c r="I197" s="26" t="str">
        <f>IF(Pressupostos!I$8=1,Pressupostos!I10,"")</f>
        <v/>
      </c>
      <c r="J197" s="26" t="str">
        <f>IF(Pressupostos!J$8=1,Pressupostos!J10,"")</f>
        <v/>
      </c>
      <c r="K197" s="26" t="str">
        <f>IF(Pressupostos!K$8=1,Pressupostos!K10,"")</f>
        <v/>
      </c>
      <c r="L197" s="26" t="str">
        <f>IF(Pressupostos!L$8=1,Pressupostos!L10,"")</f>
        <v/>
      </c>
      <c r="M197" s="26" t="str">
        <f>IF(Pressupostos!M$8=1,Pressupostos!M10,"")</f>
        <v/>
      </c>
      <c r="N197" s="26" t="str">
        <f>IF(Pressupostos!N$8=1,Pressupostos!N10,"")</f>
        <v/>
      </c>
      <c r="O197" s="26" t="str">
        <f>IF(Pressupostos!O$8=1,Pressupostos!O10,"")</f>
        <v/>
      </c>
      <c r="P197" s="26" t="str">
        <f>IF(Pressupostos!P$8=1,Pressupostos!P10,"")</f>
        <v/>
      </c>
      <c r="Q197" s="26" t="str">
        <f>IF(Pressupostos!Q$8=1,Pressupostos!Q10,"")</f>
        <v/>
      </c>
      <c r="R197" s="26" t="str">
        <f>IF(Pressupostos!R$8=1,Pressupostos!R10,"")</f>
        <v/>
      </c>
      <c r="S197" s="26" t="str">
        <f>IF(Pressupostos!S$8=1,Pressupostos!S10,"")</f>
        <v/>
      </c>
      <c r="T197" s="26" t="str">
        <f>IF(Pressupostos!T$8=1,Pressupostos!T10,"")</f>
        <v/>
      </c>
    </row>
    <row r="198" spans="2:20" s="17" customFormat="1" ht="13.2">
      <c r="B198" s="17" t="s">
        <v>170</v>
      </c>
      <c r="E198" s="44">
        <f>IF(Pressupostos!F$8=1,D14-E199,"")</f>
        <v>88965.042525760917</v>
      </c>
      <c r="F198" s="44">
        <f>IF(Pressupostos!G$8=1,D27-F199,"")</f>
        <v>-2.9103830456733704E-11</v>
      </c>
      <c r="G198" s="44" t="str">
        <f>IF(Pressupostos!H$8=1,D39-G199,"")</f>
        <v/>
      </c>
      <c r="H198" s="44" t="str">
        <f>IF(Pressupostos!I$8=1,D51-H199,"")</f>
        <v/>
      </c>
      <c r="I198" s="44" t="str">
        <f>IF(Pressupostos!J$8=1,D63-I199,"")</f>
        <v/>
      </c>
      <c r="J198" s="44" t="str">
        <f>IF(Pressupostos!K$8=1,D75-J199,"")</f>
        <v/>
      </c>
      <c r="K198" s="44" t="str">
        <f>IF(Pressupostos!L$8=1,D87-K199,"")</f>
        <v/>
      </c>
      <c r="L198" s="44" t="str">
        <f>IF(Pressupostos!M$8=1,D99-L199,"")</f>
        <v/>
      </c>
      <c r="M198" s="44" t="str">
        <f>IF(Pressupostos!N$8=1,D111-M199,"")</f>
        <v/>
      </c>
      <c r="N198" s="44" t="str">
        <f>IF(Pressupostos!O$8=1,D123-N199,"")</f>
        <v/>
      </c>
      <c r="O198" s="44" t="str">
        <f>IF(Pressupostos!P$8=1,D135-O199,"")</f>
        <v/>
      </c>
      <c r="P198" s="44" t="str">
        <f>IF(Pressupostos!Q$8=1,D147-P199,"")</f>
        <v/>
      </c>
      <c r="Q198" s="44" t="str">
        <f>IF(Pressupostos!R$8=1,D159-Q199,"")</f>
        <v/>
      </c>
      <c r="R198" s="44" t="str">
        <f>IF(Pressupostos!S$8=1,D171-R199,"")</f>
        <v/>
      </c>
      <c r="S198" s="44"/>
    </row>
    <row r="199" spans="2:20" s="17" customFormat="1" ht="13.2">
      <c r="B199" s="17" t="s">
        <v>171</v>
      </c>
      <c r="E199" s="44">
        <f>IF(Pressupostos!F$8=1,SUM(F15:F26),"")</f>
        <v>84634.957474239083</v>
      </c>
      <c r="F199" s="44">
        <f>IF(Pressupostos!G$8=1,SUM(F27:F38),"")</f>
        <v>88965.042525760946</v>
      </c>
      <c r="G199" s="44" t="str">
        <f>IF(Pressupostos!H$8=1,SUM(F39:F50),"")</f>
        <v/>
      </c>
      <c r="H199" s="44" t="str">
        <f>IF(Pressupostos!I$8=1,SUM(F51:F62),"")</f>
        <v/>
      </c>
      <c r="I199" s="44" t="str">
        <f>IF(Pressupostos!J$8=1,SUM(F63:F74),"")</f>
        <v/>
      </c>
      <c r="J199" s="44" t="str">
        <f>IF(Pressupostos!K$8=1,SUM(F75:F86),"")</f>
        <v/>
      </c>
      <c r="K199" s="44" t="str">
        <f>IF(Pressupostos!L$8=1,SUM(F87:F98),"")</f>
        <v/>
      </c>
      <c r="L199" s="44" t="str">
        <f>IF(Pressupostos!M$8=1,SUM(F99:F110),"")</f>
        <v/>
      </c>
      <c r="M199" s="44" t="str">
        <f>IF(Pressupostos!N$8=1,SUM(F111:F122),"")</f>
        <v/>
      </c>
      <c r="N199" s="44" t="str">
        <f>IF(Pressupostos!O$8=1,SUM(F123:F134),"")</f>
        <v/>
      </c>
      <c r="O199" s="44" t="str">
        <f>IF(Pressupostos!P$8=1,SUM(F135:F146),"")</f>
        <v/>
      </c>
      <c r="P199" s="44" t="str">
        <f>IF(Pressupostos!Q$8=1,SUM(F147:F158),"")</f>
        <v/>
      </c>
      <c r="Q199" s="44" t="str">
        <f>IF(Pressupostos!R$8=1,SUM(F159:F170),"")</f>
        <v/>
      </c>
      <c r="R199" s="44" t="str">
        <f>IF(Pressupostos!S$8=1,SUM(F171:F182),"")</f>
        <v/>
      </c>
      <c r="S199" s="44" t="str">
        <f>IF(Pressupostos!T$8=1,SUM(F183:F194),"")</f>
        <v/>
      </c>
    </row>
    <row r="200" spans="2:20" s="17" customFormat="1" ht="13.2">
      <c r="B200" s="17" t="s">
        <v>172</v>
      </c>
      <c r="F200" s="44">
        <f>IF(Pressupostos!F$8=1,E199,"")</f>
        <v>84634.957474239083</v>
      </c>
      <c r="G200" s="44">
        <f>IF(Pressupostos!G$8=1,F199,"")</f>
        <v>88965.042525760946</v>
      </c>
      <c r="H200" s="44" t="str">
        <f>IF(Pressupostos!H$8=1,G199,"")</f>
        <v/>
      </c>
      <c r="I200" s="44" t="str">
        <f>IF(Pressupostos!I$8=1,H199,"")</f>
        <v/>
      </c>
      <c r="J200" s="44" t="str">
        <f>IF(Pressupostos!J$8=1,I199,"")</f>
        <v/>
      </c>
      <c r="K200" s="44" t="str">
        <f>IF(Pressupostos!K$8=1,J199,"")</f>
        <v/>
      </c>
      <c r="L200" s="44" t="str">
        <f>IF(Pressupostos!L$8=1,K199,"")</f>
        <v/>
      </c>
      <c r="M200" s="44" t="str">
        <f>IF(Pressupostos!M$8=1,L199,"")</f>
        <v/>
      </c>
      <c r="N200" s="44" t="str">
        <f>IF(Pressupostos!N$8=1,M199,"")</f>
        <v/>
      </c>
      <c r="O200" s="44" t="str">
        <f>IF(Pressupostos!O$8=1,N199,"")</f>
        <v/>
      </c>
      <c r="P200" s="44" t="str">
        <f>IF(Pressupostos!P$8=1,O199,"")</f>
        <v/>
      </c>
      <c r="Q200" s="44" t="str">
        <f>IF(Pressupostos!Q$8=1,P199,"")</f>
        <v/>
      </c>
      <c r="R200" s="44" t="str">
        <f>IF(Pressupostos!R$8=1,Q199,"")</f>
        <v/>
      </c>
      <c r="S200" s="44" t="str">
        <f>IF(Pressupostos!S$8=1,R199,"")</f>
        <v/>
      </c>
      <c r="T200" s="44" t="str">
        <f>IF(Pressupostos!T$8=1,S199,"")</f>
        <v/>
      </c>
    </row>
    <row r="201" spans="2:20" s="17" customFormat="1" ht="13.2">
      <c r="B201" s="17" t="s">
        <v>163</v>
      </c>
      <c r="F201" s="44">
        <f>IF(Pressupostos!F$8=1,SUM(E15:E26),"")</f>
        <v>6757.9216197722953</v>
      </c>
      <c r="G201" s="44">
        <f>IF(Pressupostos!G$8=1,SUM(E27:E38),"")</f>
        <v>2427.8365682504441</v>
      </c>
      <c r="H201" s="44" t="str">
        <f>IF(Pressupostos!H$8=1,SUM(E39:E50),"")</f>
        <v/>
      </c>
      <c r="I201" s="44" t="str">
        <f>IF(Pressupostos!I$8=1,SUM(E51:E62),"")</f>
        <v/>
      </c>
      <c r="J201" s="44" t="str">
        <f>IF(Pressupostos!J$8=1,SUM(E63:E74),"")</f>
        <v/>
      </c>
      <c r="K201" s="44" t="str">
        <f>IF(Pressupostos!K$8=1,SUM(E75:E86),"")</f>
        <v/>
      </c>
      <c r="L201" s="44" t="str">
        <f>IF(Pressupostos!L$8=1,SUM(E87:E98),"")</f>
        <v/>
      </c>
      <c r="M201" s="44" t="str">
        <f>IF(Pressupostos!M$8=1,SUM(E99:E110),"")</f>
        <v/>
      </c>
      <c r="N201" s="44" t="str">
        <f>IF(Pressupostos!N$8=1,SUM(E111:E122),"")</f>
        <v/>
      </c>
      <c r="O201" s="44" t="str">
        <f>IF(Pressupostos!O$8=1,SUM(E123:E134),"")</f>
        <v/>
      </c>
      <c r="P201" s="44" t="str">
        <f>IF(Pressupostos!P$8=1,SUM(E135:E146),"")</f>
        <v/>
      </c>
      <c r="Q201" s="44" t="str">
        <f>IF(Pressupostos!Q$8=1,SUM(E147:E158),"")</f>
        <v/>
      </c>
      <c r="R201" s="44" t="str">
        <f>IF(Pressupostos!R$8=1,SUM(E159:E170),"")</f>
        <v/>
      </c>
      <c r="S201" s="44" t="str">
        <f>IF(Pressupostos!S$8=1,SUM(E171:E182),"")</f>
        <v/>
      </c>
      <c r="T201" s="44" t="str">
        <f>IF(Pressupostos!T$8=1,SUM(E183:E194),"")</f>
        <v/>
      </c>
    </row>
    <row r="202" spans="2:20" s="17" customFormat="1" ht="13.2">
      <c r="B202" s="17" t="s">
        <v>166</v>
      </c>
      <c r="F202" s="44">
        <f>IF(Pressupostos!F$8=1,SUM(H14:H26),"")</f>
        <v>1138.3168647908919</v>
      </c>
      <c r="G202" s="44">
        <f>IF(Pressupostos!G$8=1,SUM(H27:H38),"")</f>
        <v>97.113462730017758</v>
      </c>
      <c r="H202" s="44" t="str">
        <f>IF(Pressupostos!H$8=1,SUM(H39:H50),"")</f>
        <v/>
      </c>
      <c r="I202" s="44" t="str">
        <f>IF(Pressupostos!I$8=1,SUM(H51:H62),"")</f>
        <v/>
      </c>
      <c r="J202" s="44" t="str">
        <f>IF(Pressupostos!J$8=1,SUM(H63:H74),"")</f>
        <v/>
      </c>
      <c r="K202" s="44" t="str">
        <f>IF(Pressupostos!K$8=1,SUM(H75:H86),"")</f>
        <v/>
      </c>
      <c r="L202" s="44" t="str">
        <f>IF(Pressupostos!L$8=1,SUM(H87:H98),"")</f>
        <v/>
      </c>
      <c r="M202" s="44" t="str">
        <f>IF(Pressupostos!M$8=1,SUM(H99:H110),"")</f>
        <v/>
      </c>
      <c r="N202" s="44" t="str">
        <f>IF(Pressupostos!N$8=1,SUM(H111:H122),"")</f>
        <v/>
      </c>
      <c r="O202" s="44" t="str">
        <f>IF(Pressupostos!O$8=1,SUM(H123:H134),"")</f>
        <v/>
      </c>
      <c r="P202" s="44" t="str">
        <f>IF(Pressupostos!P$8=1,SUM(H135:H146),"")</f>
        <v/>
      </c>
      <c r="Q202" s="44" t="str">
        <f>IF(Pressupostos!Q$8=1,SUM(H147:H158),"")</f>
        <v/>
      </c>
      <c r="R202" s="44" t="str">
        <f>IF(Pressupostos!R$8=1,SUM(H159:H170),"")</f>
        <v/>
      </c>
      <c r="S202" s="44" t="str">
        <f>IF(Pressupostos!S$8=1,SUM(H171:H182),"")</f>
        <v/>
      </c>
      <c r="T202" s="44" t="str">
        <f>IF(Pressupostos!T$8=1,SUM(H183:H194),"")</f>
        <v/>
      </c>
    </row>
    <row r="203" spans="2:20" s="17" customFormat="1" ht="13.2"/>
    <row r="204" spans="2:20" s="17" customFormat="1" ht="13.2"/>
    <row r="205" spans="2:20" s="17" customFormat="1" ht="13.2"/>
    <row r="206" spans="2:20" s="17" customFormat="1" ht="13.2"/>
    <row r="207" spans="2:20" s="17" customFormat="1" ht="13.2"/>
    <row r="208" spans="2:20" s="17" customFormat="1" ht="13.2"/>
    <row r="209" s="17" customFormat="1" ht="13.2"/>
    <row r="210" s="17" customFormat="1" ht="13.2"/>
    <row r="211" s="17" customFormat="1" ht="13.2"/>
    <row r="212" s="17" customFormat="1" ht="13.2"/>
    <row r="213" s="17" customFormat="1" ht="13.2"/>
    <row r="214" s="17" customFormat="1" ht="13.2"/>
    <row r="215" s="17" customFormat="1" ht="13.2"/>
    <row r="216" s="17" customFormat="1" ht="13.2"/>
    <row r="217" s="17" customFormat="1" ht="13.2"/>
    <row r="218" s="17" customFormat="1" ht="13.2"/>
    <row r="219" s="17" customFormat="1" ht="13.2"/>
    <row r="220" s="17" customFormat="1" ht="13.2"/>
    <row r="221" s="17" customFormat="1" ht="13.2"/>
    <row r="222" s="17" customFormat="1" ht="13.2"/>
    <row r="223" s="17" customFormat="1" ht="13.2"/>
    <row r="224" s="17" customFormat="1" ht="13.2"/>
    <row r="225" s="17" customFormat="1" ht="13.2"/>
    <row r="226" s="17" customFormat="1" ht="13.2"/>
    <row r="227" s="17" customFormat="1" ht="13.2"/>
    <row r="228" s="17" customFormat="1" ht="13.2"/>
    <row r="229" s="17" customFormat="1" ht="13.2"/>
    <row r="230" s="17" customFormat="1" ht="13.2"/>
    <row r="231" s="17" customFormat="1" ht="13.2"/>
    <row r="232" s="17" customFormat="1" ht="13.2"/>
    <row r="233" s="17" customFormat="1" ht="13.2"/>
    <row r="234" s="17" customFormat="1" ht="13.2"/>
    <row r="235" s="17" customFormat="1" ht="13.2"/>
    <row r="236" s="17" customFormat="1" ht="13.2"/>
    <row r="237" s="17" customFormat="1" ht="13.2"/>
    <row r="238" s="17" customFormat="1" ht="13.2"/>
    <row r="239" s="17" customFormat="1" ht="13.2"/>
    <row r="240" s="17" customFormat="1" ht="13.2"/>
    <row r="241" s="17" customFormat="1" ht="13.2"/>
    <row r="242" s="17" customFormat="1" ht="13.2"/>
    <row r="243" s="17" customFormat="1" ht="13.2"/>
    <row r="244" s="17" customFormat="1" ht="13.2"/>
    <row r="245" s="17" customFormat="1" ht="13.2"/>
    <row r="246" s="17" customFormat="1" ht="13.2"/>
    <row r="247" s="17" customFormat="1" ht="13.2"/>
    <row r="248" s="17" customFormat="1" ht="13.2"/>
    <row r="249" s="17" customFormat="1" ht="13.2"/>
    <row r="250" s="17" customFormat="1" ht="13.2"/>
    <row r="251" s="17" customFormat="1" ht="13.2"/>
    <row r="252" s="17" customFormat="1" ht="13.2"/>
    <row r="253" s="17" customFormat="1" ht="13.2"/>
    <row r="254" s="17" customFormat="1" ht="13.2"/>
    <row r="255" s="17" customFormat="1" ht="13.2"/>
    <row r="256" s="17" customFormat="1" ht="13.2"/>
    <row r="257" s="17" customFormat="1" ht="13.2"/>
    <row r="258" s="17" customFormat="1" ht="13.2"/>
    <row r="259" s="17" customFormat="1" ht="13.2"/>
    <row r="260" s="17" customFormat="1" ht="13.2"/>
    <row r="261" s="17" customFormat="1" ht="13.2"/>
    <row r="262" s="17" customFormat="1" ht="13.2"/>
    <row r="263" s="17" customFormat="1" ht="13.2"/>
    <row r="264" s="17" customFormat="1" ht="13.2"/>
    <row r="265" s="17" customFormat="1" ht="13.2"/>
    <row r="266" s="17" customFormat="1" ht="13.2"/>
    <row r="267" s="17" customFormat="1" ht="13.2"/>
    <row r="268" s="17" customFormat="1" ht="13.2"/>
    <row r="269" s="17" customFormat="1" ht="13.2"/>
    <row r="270" s="17" customFormat="1" ht="13.2"/>
    <row r="271" s="17" customFormat="1" ht="13.2"/>
    <row r="272" s="17" customFormat="1" ht="13.2"/>
    <row r="273" s="17" customFormat="1" ht="13.2"/>
    <row r="274" s="17" customFormat="1" ht="13.2"/>
    <row r="275" s="17" customFormat="1" ht="13.2"/>
    <row r="276" s="17" customFormat="1" ht="13.2"/>
    <row r="277" s="17" customFormat="1" ht="13.2"/>
    <row r="278" s="17" customFormat="1" ht="13.2"/>
    <row r="279" s="17" customFormat="1" ht="13.2"/>
    <row r="280" s="17" customFormat="1" ht="13.2"/>
    <row r="281" s="17" customFormat="1" ht="13.2"/>
    <row r="282" s="17" customFormat="1" ht="13.2"/>
    <row r="283" s="17" customFormat="1" ht="13.2"/>
    <row r="284" s="17" customFormat="1" ht="13.2"/>
    <row r="285" s="17" customFormat="1" ht="13.2"/>
    <row r="286" s="17" customFormat="1" ht="13.2"/>
    <row r="287" s="17" customFormat="1" ht="13.2"/>
    <row r="288" s="17" customFormat="1" ht="13.2"/>
    <row r="289" s="17" customFormat="1" ht="13.2"/>
    <row r="290" s="17" customFormat="1" ht="13.2"/>
    <row r="291" s="17" customFormat="1" ht="13.2"/>
    <row r="292" s="17" customFormat="1" ht="13.2"/>
    <row r="293" s="17" customFormat="1" ht="13.2"/>
    <row r="294" s="17" customFormat="1" ht="13.2"/>
    <row r="295" s="17" customFormat="1" ht="13.2"/>
    <row r="296" s="17" customFormat="1" ht="13.2"/>
    <row r="297" s="17" customFormat="1" ht="13.2"/>
    <row r="298" s="17" customFormat="1" ht="13.2"/>
    <row r="299" s="17" customFormat="1" ht="13.2"/>
    <row r="300" s="17" customFormat="1" ht="13.2"/>
    <row r="301" s="17" customFormat="1" ht="13.2"/>
    <row r="302" s="17" customFormat="1" ht="13.2"/>
    <row r="303" s="17" customFormat="1" ht="13.2"/>
    <row r="304" s="17" customFormat="1" ht="13.2"/>
    <row r="305" s="17" customFormat="1" ht="13.2"/>
    <row r="306" s="17" customFormat="1" ht="13.2"/>
    <row r="307" s="17" customFormat="1" ht="13.2"/>
    <row r="308" s="17" customFormat="1" ht="13.2"/>
    <row r="309" s="17" customFormat="1" ht="13.2"/>
    <row r="310" s="17" customFormat="1" ht="13.2"/>
    <row r="311" s="17" customFormat="1" ht="13.2"/>
    <row r="312" s="17" customFormat="1" ht="13.2"/>
    <row r="313" s="17" customFormat="1" ht="13.2"/>
    <row r="314" s="17" customFormat="1" ht="13.2"/>
    <row r="315" s="17" customFormat="1" ht="13.2"/>
    <row r="316" s="17" customFormat="1" ht="13.2"/>
    <row r="317" s="17" customFormat="1" ht="13.2"/>
    <row r="318" s="17" customFormat="1" ht="13.2"/>
    <row r="319" s="17" customFormat="1" ht="13.2"/>
    <row r="320" s="17" customFormat="1" ht="13.2"/>
    <row r="321" s="17" customFormat="1" ht="13.2"/>
    <row r="322" s="17" customFormat="1" ht="13.2"/>
    <row r="323" s="17" customFormat="1" ht="13.2"/>
    <row r="324" s="17" customFormat="1" ht="13.2"/>
    <row r="325" s="17" customFormat="1" ht="13.2"/>
    <row r="326" s="17" customFormat="1" ht="13.2"/>
    <row r="327" s="17" customFormat="1" ht="13.2"/>
    <row r="328" s="17" customFormat="1" ht="13.2"/>
    <row r="329" s="17" customFormat="1" ht="13.2"/>
    <row r="330" s="17" customFormat="1" ht="13.2"/>
    <row r="331" s="17" customFormat="1" ht="13.2"/>
    <row r="332" s="17" customFormat="1" ht="13.2"/>
    <row r="333" s="17" customFormat="1" ht="13.2"/>
    <row r="334" s="17" customFormat="1" ht="13.2"/>
    <row r="335" s="17" customFormat="1" ht="13.2"/>
    <row r="336" s="17" customFormat="1" ht="13.2"/>
    <row r="337" s="17" customFormat="1" ht="13.2"/>
    <row r="338" s="17" customFormat="1" ht="13.2"/>
    <row r="339" s="17" customFormat="1" ht="13.2"/>
    <row r="340" s="17" customFormat="1" ht="13.2"/>
    <row r="341" s="17" customFormat="1" ht="13.2"/>
    <row r="342" s="17" customFormat="1" ht="13.2"/>
    <row r="343" s="17" customFormat="1" ht="13.2"/>
    <row r="344" s="17" customFormat="1" ht="13.2"/>
    <row r="345" s="17" customFormat="1" ht="13.2"/>
    <row r="346" s="17" customFormat="1" ht="13.2"/>
    <row r="347" s="17" customFormat="1" ht="13.2"/>
    <row r="348" s="17" customFormat="1" ht="13.2"/>
    <row r="349" s="17" customFormat="1" ht="13.2"/>
    <row r="350" s="17" customFormat="1" ht="13.2"/>
    <row r="351" s="17" customFormat="1" ht="13.2"/>
    <row r="352" s="17" customFormat="1" ht="13.2"/>
    <row r="353" s="17" customFormat="1" ht="13.2"/>
    <row r="354" s="17" customFormat="1" ht="13.2"/>
    <row r="355" s="17" customFormat="1" ht="13.2"/>
    <row r="356" s="17" customFormat="1" ht="13.2"/>
    <row r="357" s="17" customFormat="1" ht="13.2"/>
    <row r="358" s="17" customFormat="1" ht="13.2"/>
    <row r="359" s="17" customFormat="1" ht="13.2"/>
    <row r="360" s="17" customFormat="1" ht="13.2"/>
    <row r="361" s="17" customFormat="1" ht="13.2"/>
    <row r="362" s="17" customFormat="1" ht="13.2"/>
    <row r="363" s="17" customFormat="1" ht="13.2"/>
    <row r="364" s="17" customFormat="1" ht="13.2"/>
    <row r="365" s="17" customFormat="1" ht="13.2"/>
    <row r="366" s="17" customFormat="1" ht="13.2"/>
    <row r="367" s="17" customFormat="1" ht="13.2"/>
    <row r="368" s="17" customFormat="1" ht="13.2"/>
    <row r="369" s="17" customFormat="1" ht="13.2"/>
    <row r="370" s="17" customFormat="1" ht="13.2"/>
    <row r="371" s="17" customFormat="1" ht="13.2"/>
    <row r="372" s="17" customFormat="1" ht="13.2"/>
    <row r="373" s="17" customFormat="1" ht="13.2"/>
    <row r="374" s="17" customFormat="1" ht="13.2"/>
    <row r="375" s="17" customFormat="1" ht="13.2"/>
    <row r="376" s="17" customFormat="1" ht="13.2"/>
    <row r="377" s="17" customFormat="1" ht="13.2"/>
    <row r="378" s="17" customFormat="1" ht="13.2"/>
    <row r="379" s="17" customFormat="1" ht="13.2"/>
    <row r="380" s="17" customFormat="1" ht="13.2"/>
    <row r="381" s="17" customFormat="1" ht="13.2"/>
    <row r="382" s="17" customFormat="1" ht="13.2"/>
    <row r="383" s="17" customFormat="1" ht="13.2"/>
    <row r="384" s="17" customFormat="1" ht="13.2"/>
    <row r="385" s="17" customFormat="1" ht="13.2"/>
    <row r="386" s="17" customFormat="1" ht="13.2"/>
    <row r="387" s="17" customFormat="1" ht="13.2"/>
    <row r="388" s="17" customFormat="1" ht="13.2"/>
    <row r="389" s="17" customFormat="1" ht="13.2"/>
    <row r="390" s="17" customFormat="1" ht="13.2"/>
    <row r="391" s="17" customFormat="1" ht="13.2"/>
    <row r="392" s="17" customFormat="1" ht="13.2"/>
    <row r="393" s="17" customFormat="1" ht="13.2"/>
    <row r="394" s="17" customFormat="1" ht="13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3B2C-1D91-45CD-B384-366BE815EB24}">
  <dimension ref="A2:R31"/>
  <sheetViews>
    <sheetView showGridLines="0" topLeftCell="A11" workbookViewId="0">
      <selection activeCell="D27" sqref="D27"/>
    </sheetView>
  </sheetViews>
  <sheetFormatPr defaultRowHeight="12"/>
  <cols>
    <col min="1" max="1" width="8.88671875" style="25"/>
    <col min="2" max="2" width="49" style="25" bestFit="1" customWidth="1"/>
    <col min="3" max="8" width="11.33203125" style="25" customWidth="1"/>
    <col min="9" max="9" width="11.33203125" style="25" bestFit="1" customWidth="1"/>
    <col min="10" max="18" width="10.21875" style="25" customWidth="1"/>
    <col min="19" max="16384" width="8.88671875" style="25"/>
  </cols>
  <sheetData>
    <row r="2" spans="2:18" ht="13.2">
      <c r="B2" s="101" t="s">
        <v>249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8" ht="13.2">
      <c r="B3" s="26" t="s">
        <v>15</v>
      </c>
      <c r="C3" s="26">
        <f>IF(Pressupostos!F$10&lt;&gt;"",Pressupostos!F$10-1,"")</f>
        <v>2023</v>
      </c>
      <c r="D3" s="26">
        <f>IF(Pressupostos!F$10&lt;&gt;"",Pressupostos!F$10,"")</f>
        <v>2024</v>
      </c>
      <c r="E3" s="26">
        <f>IF(Pressupostos!G$10&lt;&gt;"",Pressupostos!G$10,"")</f>
        <v>2025</v>
      </c>
      <c r="F3" s="26" t="str">
        <f>IF(Pressupostos!H$10&lt;&gt;"",Pressupostos!H$10,"")</f>
        <v/>
      </c>
      <c r="G3" s="26" t="str">
        <f>IF(Pressupostos!I$10&lt;&gt;"",Pressupostos!I$10,"")</f>
        <v/>
      </c>
      <c r="H3" s="26" t="str">
        <f>IF(Pressupostos!J$10&lt;&gt;"",Pressupostos!J$10,"")</f>
        <v/>
      </c>
      <c r="I3" s="26" t="str">
        <f>IF(Pressupostos!K$10&lt;&gt;"",Pressupostos!K$10,"")</f>
        <v/>
      </c>
      <c r="J3" s="26" t="str">
        <f>IF(Pressupostos!L$10&lt;&gt;"",Pressupostos!L$10,"")</f>
        <v/>
      </c>
      <c r="K3" s="26" t="str">
        <f>IF(Pressupostos!M$10&lt;&gt;"",Pressupostos!M$10,"")</f>
        <v/>
      </c>
      <c r="L3" s="26" t="str">
        <f>IF(Pressupostos!N$10&lt;&gt;"",Pressupostos!N$10,"")</f>
        <v/>
      </c>
      <c r="M3" s="26" t="str">
        <f>IF(Pressupostos!O$10&lt;&gt;"",Pressupostos!O$10,"")</f>
        <v/>
      </c>
      <c r="N3" s="26" t="str">
        <f>IF(Pressupostos!P$10&lt;&gt;"",Pressupostos!P$10,"")</f>
        <v/>
      </c>
      <c r="O3" s="26" t="str">
        <f>IF(Pressupostos!Q$10&lt;&gt;"",Pressupostos!Q$10,"")</f>
        <v/>
      </c>
      <c r="P3" s="26" t="str">
        <f>IF(Pressupostos!R$10&lt;&gt;"",Pressupostos!R$10,"")</f>
        <v/>
      </c>
      <c r="Q3" s="26" t="str">
        <f>IF(Pressupostos!S$10&lt;&gt;"",Pressupostos!S$10,"")</f>
        <v/>
      </c>
      <c r="R3" s="26" t="str">
        <f>IF(Pressupostos!T$10&lt;&gt;"",Pressupostos!T$10,"")</f>
        <v/>
      </c>
    </row>
    <row r="4" spans="2:18" ht="13.2">
      <c r="B4" s="96" t="s">
        <v>250</v>
      </c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2:18" ht="13.2">
      <c r="B5" s="98" t="s">
        <v>251</v>
      </c>
      <c r="C5" s="30"/>
      <c r="D5" s="30">
        <f>IF(D$3&lt;&gt;"",Pressupostos!F19*Pressupostos!F21*Pressupostos!F22+Pressupostos!F23*Pressupostos!F24*Pressupostos!F26+Pressupostos!F29+Pressupostos!F30*Pressupostos!F32+Pressupostos!F33*Pressupostos!F34*Pressupostos!F36+Pressupostos!F39*Pressupostos!F40*Pressupostos!F41+Pressupostos!F42*Pressupostos!F43*Pressupostos!F44,"")</f>
        <v>22702.3</v>
      </c>
      <c r="E5" s="30">
        <f>IF(E$3&lt;&gt;"",Pressupostos!G19*Pressupostos!G21*Pressupostos!G22+Pressupostos!G23*Pressupostos!G24*Pressupostos!G26+Pressupostos!G29+Pressupostos!G30*Pressupostos!G32+Pressupostos!G33*Pressupostos!G34*Pressupostos!G36+Pressupostos!G39*Pressupostos!G40*Pressupostos!G41+Pressupostos!G42*Pressupostos!G43*Pressupostos!G44,"")</f>
        <v>32977.760000000002</v>
      </c>
      <c r="F5" s="30" t="str">
        <f>IF(F$3&lt;&gt;"",Pressupostos!H19*Pressupostos!H21*Pressupostos!H22+Pressupostos!H23*Pressupostos!H24*Pressupostos!H26+Pressupostos!H29+Pressupostos!H30*Pressupostos!H32+Pressupostos!H33*Pressupostos!H34*Pressupostos!H36+Pressupostos!H39*Pressupostos!H40*Pressupostos!H41+Pressupostos!H42*Pressupostos!H43*Pressupostos!H44,"")</f>
        <v/>
      </c>
      <c r="G5" s="30" t="str">
        <f>IF(G$3&lt;&gt;"",Pressupostos!I19*Pressupostos!I21*Pressupostos!I22+Pressupostos!I23*Pressupostos!I24*Pressupostos!I26+Pressupostos!I29+Pressupostos!I30*Pressupostos!I32+Pressupostos!I33*Pressupostos!I34*Pressupostos!I36+Pressupostos!I39*Pressupostos!I40*Pressupostos!I41+Pressupostos!I42*Pressupostos!I43*Pressupostos!I44,"")</f>
        <v/>
      </c>
      <c r="H5" s="30" t="str">
        <f>IF(H$3&lt;&gt;"",Pressupostos!J19*Pressupostos!J21*Pressupostos!J22+Pressupostos!J23*Pressupostos!J24*Pressupostos!J26+Pressupostos!J29+Pressupostos!J30*Pressupostos!J32+Pressupostos!J33*Pressupostos!J34*Pressupostos!J36+Pressupostos!J39*Pressupostos!J40*Pressupostos!J41+Pressupostos!J42*Pressupostos!J43*Pressupostos!J44,"")</f>
        <v/>
      </c>
      <c r="I5" s="30" t="str">
        <f>IF(I$3&lt;&gt;"",Pressupostos!K19*Pressupostos!K21*Pressupostos!K22+Pressupostos!K23*Pressupostos!K24*Pressupostos!K26+Pressupostos!K29+Pressupostos!K30*Pressupostos!K32+Pressupostos!K33*Pressupostos!K34*Pressupostos!K36+Pressupostos!K39*Pressupostos!K40*Pressupostos!K41+Pressupostos!K42*Pressupostos!K43*Pressupostos!K44,"")</f>
        <v/>
      </c>
      <c r="J5" s="30" t="str">
        <f>IF(J$3&lt;&gt;"",Pressupostos!L19*Pressupostos!L21*Pressupostos!L22+Pressupostos!L23*Pressupostos!L24*Pressupostos!L26+Pressupostos!L29+Pressupostos!L30*Pressupostos!L32+Pressupostos!L33*Pressupostos!L34*Pressupostos!L36+Pressupostos!L39*Pressupostos!L40*Pressupostos!L41+Pressupostos!L42*Pressupostos!L43*Pressupostos!L44,"")</f>
        <v/>
      </c>
      <c r="K5" s="30" t="str">
        <f>IF(K$3&lt;&gt;"",Pressupostos!M19*Pressupostos!M21*Pressupostos!M22+Pressupostos!M23*Pressupostos!M24*Pressupostos!M26+Pressupostos!M29+Pressupostos!M30*Pressupostos!M32+Pressupostos!M33*Pressupostos!M34*Pressupostos!M36+Pressupostos!M39*Pressupostos!M40*Pressupostos!M41+Pressupostos!M42*Pressupostos!M43*Pressupostos!M44,"")</f>
        <v/>
      </c>
      <c r="L5" s="30" t="str">
        <f>IF(L$3&lt;&gt;"",Pressupostos!N19*Pressupostos!N21*Pressupostos!N22+Pressupostos!N23*Pressupostos!N24*Pressupostos!N26+Pressupostos!N29+Pressupostos!N30*Pressupostos!N32+Pressupostos!N33*Pressupostos!N34*Pressupostos!N36+Pressupostos!N39*Pressupostos!N40*Pressupostos!N41+Pressupostos!N42*Pressupostos!N43*Pressupostos!N44,"")</f>
        <v/>
      </c>
      <c r="M5" s="30" t="str">
        <f>IF(M$3&lt;&gt;"",Pressupostos!O19*Pressupostos!O21*Pressupostos!O22+Pressupostos!O23*Pressupostos!O24*Pressupostos!O26+Pressupostos!O29+Pressupostos!O30*Pressupostos!O32+Pressupostos!O33*Pressupostos!O34*Pressupostos!O36+Pressupostos!O39*Pressupostos!O40*Pressupostos!O41+Pressupostos!O42*Pressupostos!O43*Pressupostos!O44,"")</f>
        <v/>
      </c>
      <c r="N5" s="30" t="str">
        <f>IF(N$3&lt;&gt;"",Pressupostos!P19*Pressupostos!P21*Pressupostos!P22+Pressupostos!P23*Pressupostos!P24*Pressupostos!P26+Pressupostos!P29+Pressupostos!P30*Pressupostos!P32+Pressupostos!P33*Pressupostos!P34*Pressupostos!P36+Pressupostos!P39*Pressupostos!P40*Pressupostos!P41+Pressupostos!P42*Pressupostos!P43*Pressupostos!P44,"")</f>
        <v/>
      </c>
      <c r="O5" s="30" t="str">
        <f>IF(O$3&lt;&gt;"",Pressupostos!Q19*Pressupostos!Q21*Pressupostos!Q22+Pressupostos!Q23*Pressupostos!Q24*Pressupostos!Q26+Pressupostos!Q29+Pressupostos!Q30*Pressupostos!Q32+Pressupostos!Q33*Pressupostos!Q34*Pressupostos!Q36+Pressupostos!Q39*Pressupostos!Q40*Pressupostos!Q41+Pressupostos!Q42*Pressupostos!Q43*Pressupostos!Q44,"")</f>
        <v/>
      </c>
      <c r="P5" s="30" t="str">
        <f>IF(P$3&lt;&gt;"",Pressupostos!R19*Pressupostos!R21*Pressupostos!R22+Pressupostos!R23*Pressupostos!R24*Pressupostos!R26+Pressupostos!R29+Pressupostos!R30*Pressupostos!R32+Pressupostos!R33*Pressupostos!R34*Pressupostos!R36+Pressupostos!R39*Pressupostos!R40*Pressupostos!R41+Pressupostos!R42*Pressupostos!R43*Pressupostos!R44,"")</f>
        <v/>
      </c>
      <c r="Q5" s="30" t="str">
        <f>IF(Q$3&lt;&gt;"",Pressupostos!S19*Pressupostos!S21*Pressupostos!S22+Pressupostos!S23*Pressupostos!S24*Pressupostos!S26+Pressupostos!S29+Pressupostos!S30*Pressupostos!S32+Pressupostos!S33*Pressupostos!S34*Pressupostos!S36+Pressupostos!S39*Pressupostos!S40*Pressupostos!S41+Pressupostos!S42*Pressupostos!S43*Pressupostos!S44,"")</f>
        <v/>
      </c>
      <c r="R5" s="30" t="str">
        <f>IF(R$3&lt;&gt;"",Pressupostos!T19*Pressupostos!T21*Pressupostos!T22+Pressupostos!T23*Pressupostos!T24*Pressupostos!T26+Pressupostos!T29+Pressupostos!T30*Pressupostos!T32+Pressupostos!T33*Pressupostos!T34*Pressupostos!T36+Pressupostos!T39*Pressupostos!T40*Pressupostos!T41+Pressupostos!T42*Pressupostos!T43*Pressupostos!T44,"")</f>
        <v/>
      </c>
    </row>
    <row r="6" spans="2:18" ht="13.2">
      <c r="B6" s="98" t="s">
        <v>252</v>
      </c>
      <c r="C6" s="30"/>
      <c r="D6" s="30">
        <f>IF(D$3&lt;&gt;"",SUM(Compras!C23:C24)*Pressupostos!F22+SUM(Compras!C26:C27)*Pressupostos!F26+SUMPRODUCT(Pressupostos!$D$50:$D$80,Pressupostos!F50:F80),"")</f>
        <v>34870.954933333342</v>
      </c>
      <c r="E6" s="30">
        <f>IF(E$3&lt;&gt;"",SUM(Compras!D23:D24)*Pressupostos!G22+SUM(Compras!D26:D27)*Pressupostos!G26+SUMPRODUCT(Pressupostos!$D$50:$D$80,Pressupostos!G50:G80),"")</f>
        <v>49272.540698666679</v>
      </c>
      <c r="F6" s="30" t="str">
        <f>IF(F$3&lt;&gt;"",SUM(Compras!E23:E24)*Pressupostos!H22+SUM(Compras!E26:E27)*Pressupostos!H26+SUMPRODUCT(Pressupostos!$D$50:$D$80,Pressupostos!H50:H80),"")</f>
        <v/>
      </c>
      <c r="G6" s="30" t="str">
        <f>IF(G$3&lt;&gt;"",SUM(Compras!F23:F24)*Pressupostos!I22+SUM(Compras!F26:F27)*Pressupostos!I26+SUMPRODUCT(Pressupostos!$D$50:$D$80,Pressupostos!I50:I80),"")</f>
        <v/>
      </c>
      <c r="H6" s="30" t="str">
        <f>IF(H$3&lt;&gt;"",SUM(Compras!G23:G24)*Pressupostos!J22+SUM(Compras!G26:G27)*Pressupostos!J26+SUMPRODUCT(Pressupostos!$D$50:$D$80,Pressupostos!J50:J80),"")</f>
        <v/>
      </c>
      <c r="I6" s="30" t="str">
        <f>IF(I$3&lt;&gt;"",SUM(Compras!H23:H24)*Pressupostos!K22+SUM(Compras!H26:H27)*Pressupostos!K26+SUMPRODUCT(Pressupostos!$D$50:$D$80,Pressupostos!K50:K80),"")</f>
        <v/>
      </c>
      <c r="J6" s="30" t="str">
        <f>IF(J$3&lt;&gt;"",SUM(Compras!I23:I24)*Pressupostos!L22+SUM(Compras!I26:I27)*Pressupostos!L26+SUMPRODUCT(Pressupostos!$D$50:$D$80,Pressupostos!L50:L80),"")</f>
        <v/>
      </c>
      <c r="K6" s="30" t="str">
        <f>IF(K$3&lt;&gt;"",SUM(Compras!J23:J24)*Pressupostos!M22+SUM(Compras!J26:J27)*Pressupostos!M26+SUMPRODUCT(Pressupostos!$D$50:$D$80,Pressupostos!M50:M80),"")</f>
        <v/>
      </c>
      <c r="L6" s="30" t="str">
        <f>IF(L$3&lt;&gt;"",SUM(Compras!K23:K24)*Pressupostos!N22+SUM(Compras!K26:K27)*Pressupostos!N26+SUMPRODUCT(Pressupostos!$D$50:$D$80,Pressupostos!N50:N80),"")</f>
        <v/>
      </c>
      <c r="M6" s="30" t="str">
        <f>IF(M$3&lt;&gt;"",SUM(Compras!L23:L24)*Pressupostos!O22+SUM(Compras!L26:L27)*Pressupostos!O26+SUMPRODUCT(Pressupostos!$D$50:$D$80,Pressupostos!O50:O80),"")</f>
        <v/>
      </c>
      <c r="N6" s="30" t="str">
        <f>IF(N$3&lt;&gt;"",SUM(Compras!M23:M24)*Pressupostos!P22+SUM(Compras!M26:M27)*Pressupostos!P26+SUMPRODUCT(Pressupostos!$D$50:$D$80,Pressupostos!P50:P80),"")</f>
        <v/>
      </c>
      <c r="O6" s="30" t="str">
        <f>IF(O$3&lt;&gt;"",SUM(Compras!N23:N24)*Pressupostos!Q22+SUM(Compras!N26:N27)*Pressupostos!Q26+SUMPRODUCT(Pressupostos!$D$50:$D$80,Pressupostos!Q50:Q80),"")</f>
        <v/>
      </c>
      <c r="P6" s="30" t="str">
        <f>IF(P$3&lt;&gt;"",SUM(Compras!O23:O24)*Pressupostos!R22+SUM(Compras!O26:O27)*Pressupostos!R26+SUMPRODUCT(Pressupostos!$D$50:$D$80,Pressupostos!R50:R80),"")</f>
        <v/>
      </c>
      <c r="Q6" s="30" t="str">
        <f>IF(Q$3&lt;&gt;"",SUM(Compras!P23:P24)*Pressupostos!S22+SUM(Compras!P26:P27)*Pressupostos!S26+SUMPRODUCT(Pressupostos!$D$50:$D$80,Pressupostos!S50:S80),"")</f>
        <v/>
      </c>
      <c r="R6" s="30" t="str">
        <f>IF(R$3&lt;&gt;"",SUM(Compras!Q23:Q24)*Pressupostos!T22+SUM(Compras!Q26:Q27)*Pressupostos!T26+SUMPRODUCT(Pressupostos!$D$50:$D$80,Pressupostos!T50:T80),"")</f>
        <v/>
      </c>
    </row>
    <row r="7" spans="2:18" ht="13.2">
      <c r="B7" s="98" t="s">
        <v>253</v>
      </c>
      <c r="C7" s="30"/>
      <c r="D7" s="30">
        <f>IF(D$3&lt;&gt;"",D5-D6,"")</f>
        <v>-12168.654933333342</v>
      </c>
      <c r="E7" s="30">
        <f>IF(E$3&lt;&gt;"",E5-E6,"")</f>
        <v>-16294.780698666676</v>
      </c>
      <c r="F7" s="30" t="str">
        <f>IF(F$3&lt;&gt;"",F5-F6,"")</f>
        <v/>
      </c>
      <c r="G7" s="30" t="str">
        <f>IF(G$3&lt;&gt;"",G5-G6,"")</f>
        <v/>
      </c>
      <c r="H7" s="30" t="str">
        <f>IF(H$3&lt;&gt;"",H5-H6,"")</f>
        <v/>
      </c>
      <c r="I7" s="30" t="str">
        <f t="shared" ref="I7:R7" si="0">IF(I$3&lt;&gt;"",I5-I6,"")</f>
        <v/>
      </c>
      <c r="J7" s="30" t="str">
        <f t="shared" si="0"/>
        <v/>
      </c>
      <c r="K7" s="30" t="str">
        <f t="shared" si="0"/>
        <v/>
      </c>
      <c r="L7" s="30" t="str">
        <f t="shared" si="0"/>
        <v/>
      </c>
      <c r="M7" s="30" t="str">
        <f t="shared" si="0"/>
        <v/>
      </c>
      <c r="N7" s="30" t="str">
        <f t="shared" si="0"/>
        <v/>
      </c>
      <c r="O7" s="30" t="str">
        <f t="shared" si="0"/>
        <v/>
      </c>
      <c r="P7" s="30" t="str">
        <f t="shared" si="0"/>
        <v/>
      </c>
      <c r="Q7" s="30" t="str">
        <f t="shared" si="0"/>
        <v/>
      </c>
      <c r="R7" s="30" t="str">
        <f t="shared" si="0"/>
        <v/>
      </c>
    </row>
    <row r="8" spans="2:18" ht="13.2">
      <c r="B8" s="98" t="s">
        <v>254</v>
      </c>
      <c r="C8" s="30"/>
      <c r="D8" s="30">
        <f>IF(D$3&lt;&gt;"",IF(D7&lt;0,-D7,),"")</f>
        <v>12168.654933333342</v>
      </c>
      <c r="E8" s="30">
        <f>IF(E$3&lt;&gt;"",IF(E7&lt;0,-E7,),"")</f>
        <v>16294.780698666676</v>
      </c>
      <c r="F8" s="30" t="str">
        <f>IF(F$3&lt;&gt;"",IF(F7&lt;0,-F7,),"")</f>
        <v/>
      </c>
      <c r="G8" s="30" t="str">
        <f>IF(G$3&lt;&gt;"",IF(G7&lt;0,-G7,),"")</f>
        <v/>
      </c>
      <c r="H8" s="30" t="str">
        <f>IF(H$3&lt;&gt;"",IF(H7&lt;0,-H7,),"")</f>
        <v/>
      </c>
      <c r="I8" s="30" t="str">
        <f t="shared" ref="I8:R8" si="1">IF(I$3&lt;&gt;"",IF(I7&lt;0,-I7,),"")</f>
        <v/>
      </c>
      <c r="J8" s="30" t="str">
        <f t="shared" si="1"/>
        <v/>
      </c>
      <c r="K8" s="30" t="str">
        <f t="shared" si="1"/>
        <v/>
      </c>
      <c r="L8" s="30" t="str">
        <f t="shared" si="1"/>
        <v/>
      </c>
      <c r="M8" s="30" t="str">
        <f t="shared" si="1"/>
        <v/>
      </c>
      <c r="N8" s="30" t="str">
        <f t="shared" si="1"/>
        <v/>
      </c>
      <c r="O8" s="30" t="str">
        <f t="shared" si="1"/>
        <v/>
      </c>
      <c r="P8" s="30" t="str">
        <f t="shared" si="1"/>
        <v/>
      </c>
      <c r="Q8" s="30" t="str">
        <f t="shared" si="1"/>
        <v/>
      </c>
      <c r="R8" s="30" t="str">
        <f t="shared" si="1"/>
        <v/>
      </c>
    </row>
    <row r="9" spans="2:18" ht="13.2">
      <c r="B9" s="98" t="s">
        <v>255</v>
      </c>
      <c r="C9" s="30"/>
      <c r="D9" s="30">
        <f>IF(D$3&lt;&gt;"",IF(D7&gt;0,D7-C8,),"")</f>
        <v>0</v>
      </c>
      <c r="E9" s="30">
        <f>IF(E$3&lt;&gt;"",IF(E7&gt;0,E7-D8,),"")</f>
        <v>0</v>
      </c>
      <c r="F9" s="30" t="str">
        <f>IF(F$3&lt;&gt;"",IF(F7&gt;0,F7-E8,),"")</f>
        <v/>
      </c>
      <c r="G9" s="30" t="str">
        <f>IF(G$3&lt;&gt;"",IF(G7&gt;0,G7-F8,),"")</f>
        <v/>
      </c>
      <c r="H9" s="30" t="str">
        <f>IF(H$3&lt;&gt;"",IF(H7&gt;0,H7-G8,),"")</f>
        <v/>
      </c>
      <c r="I9" s="30" t="str">
        <f t="shared" ref="I9:R9" si="2">IF(I$3&lt;&gt;"",IF(I7&gt;0,I7-H8,),"")</f>
        <v/>
      </c>
      <c r="J9" s="30" t="str">
        <f t="shared" si="2"/>
        <v/>
      </c>
      <c r="K9" s="30" t="str">
        <f t="shared" si="2"/>
        <v/>
      </c>
      <c r="L9" s="30" t="str">
        <f t="shared" si="2"/>
        <v/>
      </c>
      <c r="M9" s="30" t="str">
        <f t="shared" si="2"/>
        <v/>
      </c>
      <c r="N9" s="30" t="str">
        <f t="shared" si="2"/>
        <v/>
      </c>
      <c r="O9" s="30" t="str">
        <f t="shared" si="2"/>
        <v/>
      </c>
      <c r="P9" s="30" t="str">
        <f t="shared" si="2"/>
        <v/>
      </c>
      <c r="Q9" s="30" t="str">
        <f t="shared" si="2"/>
        <v/>
      </c>
      <c r="R9" s="30" t="str">
        <f t="shared" si="2"/>
        <v/>
      </c>
    </row>
    <row r="10" spans="2:18" ht="13.2">
      <c r="B10" s="98" t="s">
        <v>256</v>
      </c>
      <c r="C10" s="17"/>
      <c r="D10" s="30">
        <f t="shared" ref="D10:R10" si="3">IF(D$3&lt;&gt;"",C11,"")</f>
        <v>0</v>
      </c>
      <c r="E10" s="30">
        <f t="shared" si="3"/>
        <v>0</v>
      </c>
      <c r="F10" s="30" t="str">
        <f t="shared" si="3"/>
        <v/>
      </c>
      <c r="G10" s="30" t="str">
        <f t="shared" si="3"/>
        <v/>
      </c>
      <c r="H10" s="30" t="str">
        <f t="shared" si="3"/>
        <v/>
      </c>
      <c r="I10" s="30" t="str">
        <f t="shared" si="3"/>
        <v/>
      </c>
      <c r="J10" s="30" t="str">
        <f t="shared" si="3"/>
        <v/>
      </c>
      <c r="K10" s="30" t="str">
        <f t="shared" si="3"/>
        <v/>
      </c>
      <c r="L10" s="30" t="str">
        <f t="shared" si="3"/>
        <v/>
      </c>
      <c r="M10" s="30" t="str">
        <f t="shared" si="3"/>
        <v/>
      </c>
      <c r="N10" s="30" t="str">
        <f t="shared" si="3"/>
        <v/>
      </c>
      <c r="O10" s="30" t="str">
        <f t="shared" si="3"/>
        <v/>
      </c>
      <c r="P10" s="30" t="str">
        <f t="shared" si="3"/>
        <v/>
      </c>
      <c r="Q10" s="30" t="str">
        <f t="shared" si="3"/>
        <v/>
      </c>
      <c r="R10" s="30" t="str">
        <f t="shared" si="3"/>
        <v/>
      </c>
    </row>
    <row r="11" spans="2:18" ht="13.2">
      <c r="B11" s="100" t="s">
        <v>257</v>
      </c>
      <c r="C11" s="74"/>
      <c r="D11" s="74">
        <f>IF(D$3&lt;&gt;"",D9/12*Pressupostos!$D$129,"")</f>
        <v>0</v>
      </c>
      <c r="E11" s="74">
        <f>IF(E$3&lt;&gt;"",E9/12*Pressupostos!$D$129,"")</f>
        <v>0</v>
      </c>
      <c r="F11" s="74" t="str">
        <f>IF(F$3&lt;&gt;"",F9/12*Pressupostos!$D$129,"")</f>
        <v/>
      </c>
      <c r="G11" s="74" t="str">
        <f>IF(G$3&lt;&gt;"",G9/12*Pressupostos!$D$129,"")</f>
        <v/>
      </c>
      <c r="H11" s="74" t="str">
        <f>IF(H$3&lt;&gt;"",H9/12*Pressupostos!$D$129,"")</f>
        <v/>
      </c>
      <c r="I11" s="74" t="str">
        <f>IF(I$3&lt;&gt;"",I9/12*Pressupostos!$D$129,"")</f>
        <v/>
      </c>
      <c r="J11" s="74" t="str">
        <f>IF(J$3&lt;&gt;"",J9/12*Pressupostos!$D$129,"")</f>
        <v/>
      </c>
      <c r="K11" s="74" t="str">
        <f>IF(K$3&lt;&gt;"",K9/12*Pressupostos!$D$129,"")</f>
        <v/>
      </c>
      <c r="L11" s="74" t="str">
        <f>IF(L$3&lt;&gt;"",L9/12*Pressupostos!$D$129,"")</f>
        <v/>
      </c>
      <c r="M11" s="74" t="str">
        <f>IF(M$3&lt;&gt;"",M9/12*Pressupostos!$D$129,"")</f>
        <v/>
      </c>
      <c r="N11" s="74" t="str">
        <f>IF(N$3&lt;&gt;"",N9/12*Pressupostos!$D$129,"")</f>
        <v/>
      </c>
      <c r="O11" s="74" t="str">
        <f>IF(O$3&lt;&gt;"",O9/12*Pressupostos!$D$129,"")</f>
        <v/>
      </c>
      <c r="P11" s="74" t="str">
        <f>IF(P$3&lt;&gt;"",P9/12*Pressupostos!$D$129,"")</f>
        <v/>
      </c>
      <c r="Q11" s="74" t="str">
        <f>IF(Q$3&lt;&gt;"",Q9/12*Pressupostos!$D$129,"")</f>
        <v/>
      </c>
      <c r="R11" s="74" t="str">
        <f>IF(R$3&lt;&gt;"",R9/12*Pressupostos!$D$129,"")</f>
        <v/>
      </c>
    </row>
    <row r="12" spans="2:18" ht="13.2">
      <c r="B12" s="17" t="s">
        <v>258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2:18" ht="13.2">
      <c r="B13" s="98" t="s">
        <v>259</v>
      </c>
      <c r="C13" s="30"/>
      <c r="D13" s="30">
        <f>IF(D$3&lt;&gt;"",SUM(Pressupostos!F96:F98)*(Pressupostos!$D$118+Pressupostos!$D$119),"")</f>
        <v>16054.499999999998</v>
      </c>
      <c r="E13" s="30">
        <f>IF(E$3&lt;&gt;"",SUM(Pressupostos!G96:G98)*(Pressupostos!$D$118+Pressupostos!$D$119),"")</f>
        <v>16375.589999999998</v>
      </c>
      <c r="F13" s="30" t="str">
        <f>IF(F$3&lt;&gt;"",SUM(Pressupostos!H96:H98)*(Pressupostos!$D$118+Pressupostos!$D$119),"")</f>
        <v/>
      </c>
      <c r="G13" s="30" t="str">
        <f>IF(G$3&lt;&gt;"",SUM(Pressupostos!I96:I98)*(Pressupostos!$D$118+Pressupostos!$D$119),"")</f>
        <v/>
      </c>
      <c r="H13" s="30" t="str">
        <f>IF(H$3&lt;&gt;"",SUM(Pressupostos!J96:J98)*(Pressupostos!$D$118+Pressupostos!$D$119),"")</f>
        <v/>
      </c>
      <c r="I13" s="30" t="str">
        <f>IF(I$3&lt;&gt;"",SUM(Pressupostos!K96:K98)*(Pressupostos!$D$118+Pressupostos!$D$119),"")</f>
        <v/>
      </c>
      <c r="J13" s="30" t="str">
        <f>IF(J$3&lt;&gt;"",SUM(Pressupostos!L96:L98)*(Pressupostos!$D$118+Pressupostos!$D$119),"")</f>
        <v/>
      </c>
      <c r="K13" s="30" t="str">
        <f>IF(K$3&lt;&gt;"",SUM(Pressupostos!M96:M98)*(Pressupostos!$D$118+Pressupostos!$D$119),"")</f>
        <v/>
      </c>
      <c r="L13" s="30" t="str">
        <f>IF(L$3&lt;&gt;"",SUM(Pressupostos!N96:N98)*(Pressupostos!$D$118+Pressupostos!$D$119),"")</f>
        <v/>
      </c>
      <c r="M13" s="30" t="str">
        <f>IF(M$3&lt;&gt;"",SUM(Pressupostos!O96:O98)*(Pressupostos!$D$118+Pressupostos!$D$119),"")</f>
        <v/>
      </c>
      <c r="N13" s="30" t="str">
        <f>IF(N$3&lt;&gt;"",SUM(Pressupostos!P96:P98)*(Pressupostos!$D$118+Pressupostos!$D$119),"")</f>
        <v/>
      </c>
      <c r="O13" s="30" t="str">
        <f>IF(O$3&lt;&gt;"",SUM(Pressupostos!Q96:Q98)*(Pressupostos!$D$118+Pressupostos!$D$119),"")</f>
        <v/>
      </c>
      <c r="P13" s="30" t="str">
        <f>IF(P$3&lt;&gt;"",SUM(Pressupostos!R96:R98)*(Pressupostos!$D$118+Pressupostos!$D$119),"")</f>
        <v/>
      </c>
      <c r="Q13" s="30" t="str">
        <f>IF(Q$3&lt;&gt;"",SUM(Pressupostos!S96:S98)*(Pressupostos!$D$118+Pressupostos!$D$119),"")</f>
        <v/>
      </c>
      <c r="R13" s="30" t="str">
        <f>IF(R$3&lt;&gt;"",SUM(Pressupostos!T96:T98)*(Pressupostos!$D$118+Pressupostos!$D$119),"")</f>
        <v/>
      </c>
    </row>
    <row r="14" spans="2:18" ht="13.2">
      <c r="B14" s="98" t="s">
        <v>260</v>
      </c>
      <c r="C14" s="17"/>
      <c r="D14" s="30">
        <f t="shared" ref="D14:R14" si="4">IF(D$3&lt;&gt;"",C15,"")</f>
        <v>0</v>
      </c>
      <c r="E14" s="30">
        <f t="shared" si="4"/>
        <v>1337.8749999999998</v>
      </c>
      <c r="F14" s="30" t="str">
        <f t="shared" si="4"/>
        <v/>
      </c>
      <c r="G14" s="30" t="str">
        <f t="shared" si="4"/>
        <v/>
      </c>
      <c r="H14" s="30" t="str">
        <f t="shared" si="4"/>
        <v/>
      </c>
      <c r="I14" s="30" t="str">
        <f t="shared" si="4"/>
        <v/>
      </c>
      <c r="J14" s="30" t="str">
        <f t="shared" si="4"/>
        <v/>
      </c>
      <c r="K14" s="30" t="str">
        <f t="shared" si="4"/>
        <v/>
      </c>
      <c r="L14" s="30" t="str">
        <f t="shared" si="4"/>
        <v/>
      </c>
      <c r="M14" s="30" t="str">
        <f t="shared" si="4"/>
        <v/>
      </c>
      <c r="N14" s="30" t="str">
        <f t="shared" si="4"/>
        <v/>
      </c>
      <c r="O14" s="30" t="str">
        <f t="shared" si="4"/>
        <v/>
      </c>
      <c r="P14" s="30" t="str">
        <f t="shared" si="4"/>
        <v/>
      </c>
      <c r="Q14" s="30" t="str">
        <f t="shared" si="4"/>
        <v/>
      </c>
      <c r="R14" s="30" t="str">
        <f t="shared" si="4"/>
        <v/>
      </c>
    </row>
    <row r="15" spans="2:18" ht="13.2">
      <c r="B15" s="100" t="s">
        <v>261</v>
      </c>
      <c r="C15" s="74"/>
      <c r="D15" s="74">
        <f>IF(D$3&lt;&gt;"",D13/12*Pressupostos!$D$130,"")</f>
        <v>1337.8749999999998</v>
      </c>
      <c r="E15" s="74">
        <f>IF(E$3&lt;&gt;"",E13/12*Pressupostos!$D$130,"")</f>
        <v>1364.6324999999999</v>
      </c>
      <c r="F15" s="74" t="str">
        <f>IF(F$3&lt;&gt;"",F13/12*Pressupostos!$D$130,"")</f>
        <v/>
      </c>
      <c r="G15" s="74" t="str">
        <f>IF(G$3&lt;&gt;"",G13/12*Pressupostos!$D$130,"")</f>
        <v/>
      </c>
      <c r="H15" s="74" t="str">
        <f>IF(H$3&lt;&gt;"",H13/12*Pressupostos!$D$130,"")</f>
        <v/>
      </c>
      <c r="I15" s="74" t="str">
        <f>IF(I$3&lt;&gt;"",I13/12*Pressupostos!$D$130,"")</f>
        <v/>
      </c>
      <c r="J15" s="74" t="str">
        <f>IF(J$3&lt;&gt;"",J13/12*Pressupostos!$D$130,"")</f>
        <v/>
      </c>
      <c r="K15" s="74" t="str">
        <f>IF(K$3&lt;&gt;"",K13/12*Pressupostos!$D$130,"")</f>
        <v/>
      </c>
      <c r="L15" s="74" t="str">
        <f>IF(L$3&lt;&gt;"",L13/12*Pressupostos!$D$130,"")</f>
        <v/>
      </c>
      <c r="M15" s="74" t="str">
        <f>IF(M$3&lt;&gt;"",M13/12*Pressupostos!$D$130,"")</f>
        <v/>
      </c>
      <c r="N15" s="74" t="str">
        <f>IF(N$3&lt;&gt;"",N13/12*Pressupostos!$D$130,"")</f>
        <v/>
      </c>
      <c r="O15" s="74" t="str">
        <f>IF(O$3&lt;&gt;"",O13/12*Pressupostos!$D$130,"")</f>
        <v/>
      </c>
      <c r="P15" s="74" t="str">
        <f>IF(P$3&lt;&gt;"",P13/12*Pressupostos!$D$130,"")</f>
        <v/>
      </c>
      <c r="Q15" s="74" t="str">
        <f>IF(Q$3&lt;&gt;"",Q13/12*Pressupostos!$D$130,"")</f>
        <v/>
      </c>
      <c r="R15" s="74" t="str">
        <f>IF(R$3&lt;&gt;"",R13/12*Pressupostos!$D$130,"")</f>
        <v/>
      </c>
    </row>
    <row r="16" spans="2:18" ht="13.2">
      <c r="B16" s="17" t="s">
        <v>262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3.2">
      <c r="B17" s="20" t="s">
        <v>263</v>
      </c>
      <c r="C17" s="4"/>
      <c r="D17" s="30">
        <f>IF(D$3&lt;&gt;"",SUM(Pressupostos!F96:F98)*Pressupostos!$D$116,"")</f>
        <v>2310</v>
      </c>
      <c r="E17" s="30">
        <f>IF(E$3&lt;&gt;"",SUM(Pressupostos!G96:G98)*Pressupostos!$D$116,"")</f>
        <v>2356.2000000000003</v>
      </c>
      <c r="F17" s="30" t="str">
        <f>IF(F$3&lt;&gt;"",SUM(Pressupostos!H96:H98)*Pressupostos!$D$116,"")</f>
        <v/>
      </c>
      <c r="G17" s="30" t="str">
        <f>IF(G$3&lt;&gt;"",SUM(Pressupostos!I96:I98)*Pressupostos!$D$116,"")</f>
        <v/>
      </c>
      <c r="H17" s="30" t="str">
        <f>IF(H$3&lt;&gt;"",SUM(Pressupostos!J96:J98)*Pressupostos!$D$116,"")</f>
        <v/>
      </c>
      <c r="I17" s="30" t="str">
        <f>IF(I$3&lt;&gt;"",SUM(Pressupostos!K96:K98)*Pressupostos!$D$116,"")</f>
        <v/>
      </c>
      <c r="J17" s="30" t="str">
        <f>IF(J$3&lt;&gt;"",SUM(Pressupostos!L96:L98)*Pressupostos!$D$116,"")</f>
        <v/>
      </c>
      <c r="K17" s="30" t="str">
        <f>IF(K$3&lt;&gt;"",SUM(Pressupostos!M96:M98)*Pressupostos!$D$116,"")</f>
        <v/>
      </c>
      <c r="L17" s="30" t="str">
        <f>IF(L$3&lt;&gt;"",SUM(Pressupostos!N96:N98)*Pressupostos!$D$116,"")</f>
        <v/>
      </c>
      <c r="M17" s="30" t="str">
        <f>IF(M$3&lt;&gt;"",SUM(Pressupostos!O96:O98)*Pressupostos!$D$116,"")</f>
        <v/>
      </c>
      <c r="N17" s="30" t="str">
        <f>IF(N$3&lt;&gt;"",SUM(Pressupostos!P96:P98)*Pressupostos!$D$116,"")</f>
        <v/>
      </c>
      <c r="O17" s="30" t="str">
        <f>IF(O$3&lt;&gt;"",SUM(Pressupostos!Q96:Q98)*Pressupostos!$D$116,"")</f>
        <v/>
      </c>
      <c r="P17" s="30" t="str">
        <f>IF(P$3&lt;&gt;"",SUM(Pressupostos!R96:R98)*Pressupostos!$D$116,"")</f>
        <v/>
      </c>
      <c r="Q17" s="30" t="str">
        <f>IF(Q$3&lt;&gt;"",SUM(Pressupostos!S96:S98)*Pressupostos!$D$116,"")</f>
        <v/>
      </c>
      <c r="R17" s="30" t="str">
        <f>IF(R$3&lt;&gt;"",SUM(Pressupostos!T96:T98)*Pressupostos!$D$116,"")</f>
        <v/>
      </c>
    </row>
    <row r="18" spans="1:18" ht="13.2">
      <c r="B18" s="20" t="s">
        <v>264</v>
      </c>
      <c r="C18" s="4"/>
      <c r="D18" s="30">
        <f t="shared" ref="D18:R18" si="5">IF(D$3&lt;&gt;"",C19,"")</f>
        <v>0</v>
      </c>
      <c r="E18" s="30">
        <f t="shared" si="5"/>
        <v>192.5</v>
      </c>
      <c r="F18" s="30" t="str">
        <f t="shared" si="5"/>
        <v/>
      </c>
      <c r="G18" s="30" t="str">
        <f t="shared" si="5"/>
        <v/>
      </c>
      <c r="H18" s="30" t="str">
        <f t="shared" si="5"/>
        <v/>
      </c>
      <c r="I18" s="30" t="str">
        <f t="shared" si="5"/>
        <v/>
      </c>
      <c r="J18" s="30" t="str">
        <f t="shared" si="5"/>
        <v/>
      </c>
      <c r="K18" s="30" t="str">
        <f t="shared" si="5"/>
        <v/>
      </c>
      <c r="L18" s="30" t="str">
        <f t="shared" si="5"/>
        <v/>
      </c>
      <c r="M18" s="30" t="str">
        <f t="shared" si="5"/>
        <v/>
      </c>
      <c r="N18" s="30" t="str">
        <f t="shared" si="5"/>
        <v/>
      </c>
      <c r="O18" s="30" t="str">
        <f t="shared" si="5"/>
        <v/>
      </c>
      <c r="P18" s="30" t="str">
        <f t="shared" si="5"/>
        <v/>
      </c>
      <c r="Q18" s="30" t="str">
        <f t="shared" si="5"/>
        <v/>
      </c>
      <c r="R18" s="30" t="str">
        <f t="shared" si="5"/>
        <v/>
      </c>
    </row>
    <row r="19" spans="1:18" ht="13.2">
      <c r="B19" s="100" t="s">
        <v>265</v>
      </c>
      <c r="C19" s="74"/>
      <c r="D19" s="74">
        <f>IF(D$3&lt;&gt;"",D17/12*Pressupostos!$D$130,"")</f>
        <v>192.5</v>
      </c>
      <c r="E19" s="74">
        <f>IF(E$3&lt;&gt;"",E17/12*Pressupostos!$D$130,"")</f>
        <v>196.35000000000002</v>
      </c>
      <c r="F19" s="74" t="str">
        <f>IF(F$3&lt;&gt;"",F17/12*Pressupostos!$D$130,"")</f>
        <v/>
      </c>
      <c r="G19" s="74" t="str">
        <f>IF(G$3&lt;&gt;"",G17/12*Pressupostos!$D$130,"")</f>
        <v/>
      </c>
      <c r="H19" s="74" t="str">
        <f>IF(H$3&lt;&gt;"",H17/12*Pressupostos!$D$130,"")</f>
        <v/>
      </c>
      <c r="I19" s="74" t="str">
        <f>IF(I$3&lt;&gt;"",I17/12*Pressupostos!$D$130,"")</f>
        <v/>
      </c>
      <c r="J19" s="74" t="str">
        <f>IF(J$3&lt;&gt;"",J17/12*Pressupostos!$D$130,"")</f>
        <v/>
      </c>
      <c r="K19" s="74" t="str">
        <f>IF(K$3&lt;&gt;"",K17/12*Pressupostos!$D$130,"")</f>
        <v/>
      </c>
      <c r="L19" s="74" t="str">
        <f>IF(L$3&lt;&gt;"",L17/12*Pressupostos!$D$130,"")</f>
        <v/>
      </c>
      <c r="M19" s="74" t="str">
        <f>IF(M$3&lt;&gt;"",M17/12*Pressupostos!$D$130,"")</f>
        <v/>
      </c>
      <c r="N19" s="74" t="str">
        <f>IF(N$3&lt;&gt;"",N17/12*Pressupostos!$D$130,"")</f>
        <v/>
      </c>
      <c r="O19" s="74" t="str">
        <f>IF(O$3&lt;&gt;"",O17/12*Pressupostos!$D$130,"")</f>
        <v/>
      </c>
      <c r="P19" s="74" t="str">
        <f>IF(P$3&lt;&gt;"",P17/12*Pressupostos!$D$130,"")</f>
        <v/>
      </c>
      <c r="Q19" s="74" t="str">
        <f>IF(Q$3&lt;&gt;"",Q17/12*Pressupostos!$D$130,"")</f>
        <v/>
      </c>
      <c r="R19" s="74" t="str">
        <f>IF(R$3&lt;&gt;"",R17/12*Pressupostos!$D$130,"")</f>
        <v/>
      </c>
    </row>
    <row r="21" spans="1:18" ht="13.2">
      <c r="B21" s="101" t="s">
        <v>297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8" s="27" customFormat="1" ht="13.2">
      <c r="B22" s="26" t="s">
        <v>15</v>
      </c>
      <c r="C22" s="26">
        <f>IF(Pressupostos!F$10&lt;&gt;"",Pressupostos!F$10-1,"")</f>
        <v>2023</v>
      </c>
      <c r="D22" s="26">
        <f>IF(Pressupostos!F$10&lt;&gt;"",Pressupostos!F$10,"")</f>
        <v>2024</v>
      </c>
      <c r="E22" s="26">
        <f>IF(Pressupostos!G$10&lt;&gt;"",Pressupostos!G$10,"")</f>
        <v>2025</v>
      </c>
      <c r="F22" s="26" t="str">
        <f>IF(Pressupostos!H$10&lt;&gt;"",Pressupostos!H$10,"")</f>
        <v/>
      </c>
      <c r="G22" s="26" t="str">
        <f>IF(Pressupostos!I$10&lt;&gt;"",Pressupostos!I$10,"")</f>
        <v/>
      </c>
      <c r="H22" s="26" t="str">
        <f>IF(Pressupostos!J$10&lt;&gt;"",Pressupostos!J$10,"")</f>
        <v/>
      </c>
      <c r="I22" s="26" t="str">
        <f>IF(Pressupostos!K$10&lt;&gt;"",Pressupostos!K$10,"")</f>
        <v/>
      </c>
      <c r="J22" s="26" t="str">
        <f>IF(Pressupostos!L$10&lt;&gt;"",Pressupostos!L$10,"")</f>
        <v/>
      </c>
      <c r="K22" s="26" t="str">
        <f>IF(Pressupostos!M$10&lt;&gt;"",Pressupostos!M$10,"")</f>
        <v/>
      </c>
      <c r="L22" s="26" t="str">
        <f>IF(Pressupostos!N$10&lt;&gt;"",Pressupostos!N$10,"")</f>
        <v/>
      </c>
      <c r="M22" s="26" t="str">
        <f>IF(Pressupostos!O$10&lt;&gt;"",Pressupostos!O$10,"")</f>
        <v/>
      </c>
      <c r="N22" s="26" t="str">
        <f>IF(Pressupostos!P$10&lt;&gt;"",Pressupostos!P$10,"")</f>
        <v/>
      </c>
      <c r="O22" s="26" t="str">
        <f>IF(Pressupostos!Q$10&lt;&gt;"",Pressupostos!Q$10,"")</f>
        <v/>
      </c>
      <c r="P22" s="26" t="str">
        <f>IF(Pressupostos!R$10&lt;&gt;"",Pressupostos!R$10,"")</f>
        <v/>
      </c>
      <c r="Q22" s="26" t="str">
        <f>IF(Pressupostos!S$10&lt;&gt;"",Pressupostos!S$10,"")</f>
        <v/>
      </c>
      <c r="R22" s="26" t="str">
        <f>IF(Pressupostos!T$10&lt;&gt;"",Pressupostos!T$10,"")</f>
        <v/>
      </c>
    </row>
    <row r="23" spans="1:18" s="17" customFormat="1" ht="13.2">
      <c r="B23" s="70"/>
      <c r="C23" s="70"/>
      <c r="D23" s="70"/>
      <c r="E23" s="70"/>
      <c r="F23" s="70"/>
      <c r="G23" s="70"/>
      <c r="H23" s="70"/>
      <c r="I23" s="27"/>
      <c r="J23" s="27"/>
      <c r="K23" s="27"/>
      <c r="L23" s="27"/>
    </row>
    <row r="24" spans="1:18" s="17" customFormat="1" ht="13.2">
      <c r="A24" s="88" t="s">
        <v>243</v>
      </c>
      <c r="B24" s="28" t="s">
        <v>196</v>
      </c>
      <c r="C24" s="29"/>
      <c r="D24" s="30">
        <f>IF(D$3&lt;&gt;"",SUM(Compras!C11:C12)+SUM(Compras!C14:C15)+Compras!C34,"")</f>
        <v>17916.666666666668</v>
      </c>
      <c r="E24" s="30">
        <f>IF(E$3&lt;&gt;"",SUM(Compras!D11:D12)+SUM(Compras!D14:D15)+Compras!D34,"")</f>
        <v>26875</v>
      </c>
      <c r="F24" s="30" t="str">
        <f>IF(F$3&lt;&gt;"",SUM(Compras!E11:E12)+SUM(Compras!E14:E15)+Compras!E34,"")</f>
        <v/>
      </c>
      <c r="G24" s="30" t="str">
        <f>IF(G$3&lt;&gt;"",SUM(Compras!F11:F12)+SUM(Compras!F14:F15)+Compras!F34,"")</f>
        <v/>
      </c>
      <c r="H24" s="30" t="str">
        <f>IF(H$3&lt;&gt;"",SUM(Compras!G11:G12)+SUM(Compras!G14:G15)+Compras!G34,"")</f>
        <v/>
      </c>
      <c r="I24" s="30" t="str">
        <f>IF(I$3&lt;&gt;"",SUM(Compras!H11:H12)+SUM(Compras!H14:H15)+Compras!H34,"")</f>
        <v/>
      </c>
      <c r="J24" s="30" t="str">
        <f>IF(J$3&lt;&gt;"",SUM(Compras!I11:I12)+SUM(Compras!I14:I15)+Compras!I34,"")</f>
        <v/>
      </c>
      <c r="K24" s="30" t="str">
        <f>IF(K$3&lt;&gt;"",SUM(Compras!J11:J12)+SUM(Compras!J14:J15)+Compras!J34,"")</f>
        <v/>
      </c>
      <c r="L24" s="30" t="str">
        <f>IF(L$3&lt;&gt;"",SUM(Compras!K11:K12)+SUM(Compras!K14:K15)+Compras!K34,"")</f>
        <v/>
      </c>
      <c r="M24" s="30" t="str">
        <f>IF(M$3&lt;&gt;"",SUM(Compras!L11:L12)+SUM(Compras!L14:L15)+Compras!L34,"")</f>
        <v/>
      </c>
      <c r="N24" s="30" t="str">
        <f>IF(N$3&lt;&gt;"",SUM(Compras!M11:M12)+SUM(Compras!M14:M15)+Compras!M34,"")</f>
        <v/>
      </c>
      <c r="O24" s="30" t="str">
        <f>IF(O$3&lt;&gt;"",SUM(Compras!N11:N12)+SUM(Compras!N14:N15)+Compras!N34,"")</f>
        <v/>
      </c>
      <c r="P24" s="30" t="str">
        <f>IF(P$3&lt;&gt;"",SUM(Compras!O11:O12)+SUM(Compras!O14:O15)+Compras!O34,"")</f>
        <v/>
      </c>
      <c r="Q24" s="30" t="str">
        <f>IF(Q$3&lt;&gt;"",SUM(Compras!P11:P12)+SUM(Compras!P14:P15)+Compras!P34,"")</f>
        <v/>
      </c>
      <c r="R24" s="30" t="str">
        <f>IF(R$3&lt;&gt;"",SUM(Compras!Q11:Q12)+SUM(Compras!Q14:Q15)+Compras!Q34,"")</f>
        <v/>
      </c>
    </row>
    <row r="25" spans="1:18" s="17" customFormat="1" ht="13.2">
      <c r="A25" s="88" t="s">
        <v>243</v>
      </c>
      <c r="B25" s="28" t="s">
        <v>197</v>
      </c>
      <c r="C25" s="29"/>
      <c r="D25" s="30">
        <f>IF(D$3&lt;&gt;"",(DR!C4+D5)/12*Pressupostos!$D$124,"")</f>
        <v>53783.716666666667</v>
      </c>
      <c r="E25" s="30">
        <f>IF(E$3&lt;&gt;"",(DR!D4+E5)/12*Pressupostos!$D$124,"")</f>
        <v>80496.293333333335</v>
      </c>
      <c r="F25" s="30" t="str">
        <f>IF(F$3&lt;&gt;"",(DR!E4+F5)/12*Pressupostos!$D$124,"")</f>
        <v/>
      </c>
      <c r="G25" s="30" t="str">
        <f>IF(G$3&lt;&gt;"",(DR!F4+G5)/12*Pressupostos!$D$124,"")</f>
        <v/>
      </c>
      <c r="H25" s="30" t="str">
        <f>IF(H$3&lt;&gt;"",(DR!G4+H5)/12*Pressupostos!$D$124,"")</f>
        <v/>
      </c>
      <c r="I25" s="30" t="str">
        <f>IF(I$3&lt;&gt;"",(DR!H4+I5)/12*Pressupostos!$D$124,"")</f>
        <v/>
      </c>
      <c r="J25" s="30" t="str">
        <f>IF(J$3&lt;&gt;"",(DR!I4+J5)/12*Pressupostos!$D$124,"")</f>
        <v/>
      </c>
      <c r="K25" s="30" t="str">
        <f>IF(K$3&lt;&gt;"",(DR!J4+K5)/12*Pressupostos!$D$124,"")</f>
        <v/>
      </c>
      <c r="L25" s="30" t="str">
        <f>IF(L$3&lt;&gt;"",(DR!K4+L5)/12*Pressupostos!$D$124,"")</f>
        <v/>
      </c>
      <c r="M25" s="30" t="str">
        <f>IF(M$3&lt;&gt;"",(DR!L4+M5)/12*Pressupostos!$D$124,"")</f>
        <v/>
      </c>
      <c r="N25" s="30" t="str">
        <f>IF(N$3&lt;&gt;"",(DR!M4+N5)/12*Pressupostos!$D$124,"")</f>
        <v/>
      </c>
      <c r="O25" s="30" t="str">
        <f>IF(O$3&lt;&gt;"",(DR!N4+O5)/12*Pressupostos!$D$124,"")</f>
        <v/>
      </c>
      <c r="P25" s="30" t="str">
        <f>IF(P$3&lt;&gt;"",(DR!O4+P5)/12*Pressupostos!$D$124,"")</f>
        <v/>
      </c>
      <c r="Q25" s="30" t="str">
        <f>IF(Q$3&lt;&gt;"",(DR!P4+Q5)/12*Pressupostos!$D$124,"")</f>
        <v/>
      </c>
      <c r="R25" s="30" t="str">
        <f>IF(R$3&lt;&gt;"",(DR!Q4+R5)/12*Pressupostos!$D$124,"")</f>
        <v/>
      </c>
    </row>
    <row r="26" spans="1:18" s="17" customFormat="1" ht="13.2">
      <c r="A26" s="88" t="s">
        <v>243</v>
      </c>
      <c r="B26" s="89" t="s">
        <v>244</v>
      </c>
      <c r="C26" s="29"/>
      <c r="D26" s="30">
        <f>IF(D$3&lt;&gt;"",D8,"")</f>
        <v>12168.654933333342</v>
      </c>
      <c r="E26" s="30">
        <f>IF(E$3&lt;&gt;"",E8,"")</f>
        <v>16294.780698666676</v>
      </c>
      <c r="F26" s="30" t="str">
        <f>IF(F$3&lt;&gt;"",F8,"")</f>
        <v/>
      </c>
      <c r="G26" s="30" t="str">
        <f>IF(G$3&lt;&gt;"",G8,"")</f>
        <v/>
      </c>
      <c r="H26" s="30" t="str">
        <f>IF(H$3&lt;&gt;"",H8,"")</f>
        <v/>
      </c>
      <c r="I26" s="30" t="str">
        <f t="shared" ref="I26:R26" si="6">IF(I$3&lt;&gt;"",I8,"")</f>
        <v/>
      </c>
      <c r="J26" s="30" t="str">
        <f t="shared" si="6"/>
        <v/>
      </c>
      <c r="K26" s="30" t="str">
        <f t="shared" si="6"/>
        <v/>
      </c>
      <c r="L26" s="30" t="str">
        <f t="shared" si="6"/>
        <v/>
      </c>
      <c r="M26" s="30" t="str">
        <f t="shared" si="6"/>
        <v/>
      </c>
      <c r="N26" s="30" t="str">
        <f t="shared" si="6"/>
        <v/>
      </c>
      <c r="O26" s="30" t="str">
        <f t="shared" si="6"/>
        <v/>
      </c>
      <c r="P26" s="30" t="str">
        <f t="shared" si="6"/>
        <v/>
      </c>
      <c r="Q26" s="30" t="str">
        <f t="shared" si="6"/>
        <v/>
      </c>
      <c r="R26" s="30" t="str">
        <f t="shared" si="6"/>
        <v/>
      </c>
    </row>
    <row r="27" spans="1:18" s="17" customFormat="1" ht="13.2">
      <c r="A27" s="88" t="s">
        <v>243</v>
      </c>
      <c r="B27" s="89" t="s">
        <v>282</v>
      </c>
      <c r="C27" s="30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s="17" customFormat="1" ht="13.2">
      <c r="A28" s="88" t="s">
        <v>245</v>
      </c>
      <c r="B28" s="89" t="s">
        <v>227</v>
      </c>
      <c r="C28" s="90"/>
      <c r="D28" s="30">
        <f>IF(D$3&lt;&gt;"",(SUM(Compras!C23:C24)+SUM(Compras!C26:C27)-DR!C7+NFM!D6)/12*Pressupostos!$D$129,"")</f>
        <v>31388.230266666669</v>
      </c>
      <c r="E28" s="30">
        <f>IF(E$3&lt;&gt;"",(SUM(Compras!D23:D24)+SUM(Compras!D26:D27)-DR!D7+NFM!E6)/12*Pressupostos!$D$129,"")</f>
        <v>44230.578205333346</v>
      </c>
      <c r="F28" s="30" t="str">
        <f>IF(F$3&lt;&gt;"",(SUM(Compras!E23:E24)+SUM(Compras!E26:E27)-DR!E7+NFM!F6)/12*Pressupostos!$D$129,"")</f>
        <v/>
      </c>
      <c r="G28" s="30" t="str">
        <f>IF(G$3&lt;&gt;"",(SUM(Compras!F23:F24)+SUM(Compras!F26:F27)-DR!F7+NFM!G6)/12*Pressupostos!$D$129,"")</f>
        <v/>
      </c>
      <c r="H28" s="30" t="str">
        <f>IF(H$3&lt;&gt;"",(SUM(Compras!G23:G24)+SUM(Compras!G26:G27)-DR!G7+NFM!H6)/12*Pressupostos!$D$129,"")</f>
        <v/>
      </c>
      <c r="I28" s="30" t="str">
        <f>IF(I$3&lt;&gt;"",(SUM(Compras!H23:H24)+SUM(Compras!H26:H27)-DR!H7+NFM!I6)/12*Pressupostos!$D$129,"")</f>
        <v/>
      </c>
      <c r="J28" s="30" t="str">
        <f>IF(J$3&lt;&gt;"",(SUM(Compras!I23:I24)+SUM(Compras!I26:I27)-DR!I7+NFM!J6)/12*Pressupostos!$D$129,"")</f>
        <v/>
      </c>
      <c r="K28" s="30" t="str">
        <f>IF(K$3&lt;&gt;"",(SUM(Compras!J23:J24)+SUM(Compras!J26:J27)-DR!J7+NFM!K6)/12*Pressupostos!$D$129,"")</f>
        <v/>
      </c>
      <c r="L28" s="30" t="str">
        <f>IF(L$3&lt;&gt;"",(SUM(Compras!K23:K24)+SUM(Compras!K26:K27)-DR!K7+NFM!L6)/12*Pressupostos!$D$129,"")</f>
        <v/>
      </c>
      <c r="M28" s="30" t="str">
        <f>IF(M$3&lt;&gt;"",(SUM(Compras!L23:L24)+SUM(Compras!L26:L27)-DR!L7+NFM!M6)/12*Pressupostos!$D$129,"")</f>
        <v/>
      </c>
      <c r="N28" s="30" t="str">
        <f>IF(N$3&lt;&gt;"",(SUM(Compras!M23:M24)+SUM(Compras!M26:M27)-DR!M7+NFM!N6)/12*Pressupostos!$D$129,"")</f>
        <v/>
      </c>
      <c r="O28" s="30" t="str">
        <f>IF(O$3&lt;&gt;"",(SUM(Compras!N23:N24)+SUM(Compras!N26:N27)-DR!N7+NFM!O6)/12*Pressupostos!$D$129,"")</f>
        <v/>
      </c>
      <c r="P28" s="30" t="str">
        <f>IF(P$3&lt;&gt;"",(SUM(Compras!O23:O24)+SUM(Compras!O26:O27)-DR!O7+NFM!P6)/12*Pressupostos!$D$129,"")</f>
        <v/>
      </c>
      <c r="Q28" s="30" t="str">
        <f>IF(Q$3&lt;&gt;"",(SUM(Compras!P23:P24)+SUM(Compras!P26:P27)-DR!P7+NFM!Q6)/12*Pressupostos!$D$129,"")</f>
        <v/>
      </c>
      <c r="R28" s="30" t="str">
        <f>IF(R$3&lt;&gt;"",(SUM(Compras!Q23:Q24)+SUM(Compras!Q26:Q27)-DR!Q7+NFM!R6)/12*Pressupostos!$D$129,"")</f>
        <v/>
      </c>
    </row>
    <row r="29" spans="1:18" s="17" customFormat="1" ht="13.2">
      <c r="A29" s="88" t="s">
        <v>245</v>
      </c>
      <c r="B29" s="91" t="s">
        <v>246</v>
      </c>
      <c r="C29" s="92"/>
      <c r="D29" s="92">
        <f>IF(D$3&lt;&gt;"",D11+D15+D19,"")</f>
        <v>1530.3749999999998</v>
      </c>
      <c r="E29" s="92">
        <f>IF(E$3&lt;&gt;"",E11+E15+E19,"")</f>
        <v>1560.9825000000001</v>
      </c>
      <c r="F29" s="92" t="str">
        <f>IF(F$3&lt;&gt;"",F11+F15+F19,"")</f>
        <v/>
      </c>
      <c r="G29" s="92" t="str">
        <f>IF(G$3&lt;&gt;"",G11+G15+G19,"")</f>
        <v/>
      </c>
      <c r="H29" s="92" t="str">
        <f>IF(H$3&lt;&gt;"",H11+H15+H19,"")</f>
        <v/>
      </c>
      <c r="I29" s="92" t="str">
        <f t="shared" ref="I29:R29" si="7">IF(I$3&lt;&gt;"",I11+I15+I19,"")</f>
        <v/>
      </c>
      <c r="J29" s="92" t="str">
        <f t="shared" si="7"/>
        <v/>
      </c>
      <c r="K29" s="92" t="str">
        <f t="shared" si="7"/>
        <v/>
      </c>
      <c r="L29" s="92" t="str">
        <f t="shared" si="7"/>
        <v/>
      </c>
      <c r="M29" s="92" t="str">
        <f t="shared" si="7"/>
        <v/>
      </c>
      <c r="N29" s="92" t="str">
        <f t="shared" si="7"/>
        <v/>
      </c>
      <c r="O29" s="92" t="str">
        <f t="shared" si="7"/>
        <v/>
      </c>
      <c r="P29" s="92" t="str">
        <f t="shared" si="7"/>
        <v/>
      </c>
      <c r="Q29" s="92" t="str">
        <f t="shared" si="7"/>
        <v/>
      </c>
      <c r="R29" s="92" t="str">
        <f t="shared" si="7"/>
        <v/>
      </c>
    </row>
    <row r="30" spans="1:18" s="17" customFormat="1" ht="13.2">
      <c r="B30" s="93" t="s">
        <v>247</v>
      </c>
      <c r="C30" s="30"/>
      <c r="D30" s="30">
        <f>IF(D$3&lt;&gt;"",D24+D25+D26+D27-D28-D29,"")</f>
        <v>50950.433000000005</v>
      </c>
      <c r="E30" s="30">
        <f>IF(E$3&lt;&gt;"",E24+E25+E26+E27-E28-E29,"")</f>
        <v>77874.513326666653</v>
      </c>
      <c r="F30" s="30" t="str">
        <f>IF(F$3&lt;&gt;"",F24+F25+F26+F27-F28-F29,"")</f>
        <v/>
      </c>
      <c r="G30" s="30" t="str">
        <f>IF(G$3&lt;&gt;"",G24+G25+G26+G27-G28-G29,"")</f>
        <v/>
      </c>
      <c r="H30" s="30" t="str">
        <f>IF(H$3&lt;&gt;"",H24+H25+H26+H27-H28-H29,"")</f>
        <v/>
      </c>
      <c r="I30" s="30" t="str">
        <f t="shared" ref="I30:R30" si="8">IF(I$3&lt;&gt;"",I24+I25+I26+I27-I28-I29,"")</f>
        <v/>
      </c>
      <c r="J30" s="30" t="str">
        <f t="shared" si="8"/>
        <v/>
      </c>
      <c r="K30" s="30" t="str">
        <f t="shared" si="8"/>
        <v/>
      </c>
      <c r="L30" s="30" t="str">
        <f t="shared" si="8"/>
        <v/>
      </c>
      <c r="M30" s="30" t="str">
        <f t="shared" si="8"/>
        <v/>
      </c>
      <c r="N30" s="30" t="str">
        <f t="shared" si="8"/>
        <v/>
      </c>
      <c r="O30" s="30" t="str">
        <f t="shared" si="8"/>
        <v/>
      </c>
      <c r="P30" s="30" t="str">
        <f t="shared" si="8"/>
        <v/>
      </c>
      <c r="Q30" s="30" t="str">
        <f t="shared" si="8"/>
        <v/>
      </c>
      <c r="R30" s="30" t="str">
        <f t="shared" si="8"/>
        <v/>
      </c>
    </row>
    <row r="31" spans="1:18" ht="13.2">
      <c r="B31" s="95" t="s">
        <v>248</v>
      </c>
      <c r="C31" s="30"/>
      <c r="D31" s="30">
        <f t="shared" ref="D31:R31" si="9">IF(D$3&lt;&gt;"",D30-C30,"")</f>
        <v>50950.433000000005</v>
      </c>
      <c r="E31" s="30">
        <f t="shared" si="9"/>
        <v>26924.080326666648</v>
      </c>
      <c r="F31" s="30" t="str">
        <f t="shared" si="9"/>
        <v/>
      </c>
      <c r="G31" s="30" t="str">
        <f t="shared" si="9"/>
        <v/>
      </c>
      <c r="H31" s="30" t="str">
        <f t="shared" si="9"/>
        <v/>
      </c>
      <c r="I31" s="30" t="str">
        <f t="shared" si="9"/>
        <v/>
      </c>
      <c r="J31" s="30" t="str">
        <f t="shared" si="9"/>
        <v/>
      </c>
      <c r="K31" s="30" t="str">
        <f t="shared" si="9"/>
        <v/>
      </c>
      <c r="L31" s="30" t="str">
        <f t="shared" si="9"/>
        <v/>
      </c>
      <c r="M31" s="30" t="str">
        <f t="shared" si="9"/>
        <v/>
      </c>
      <c r="N31" s="30" t="str">
        <f t="shared" si="9"/>
        <v/>
      </c>
      <c r="O31" s="30" t="str">
        <f t="shared" si="9"/>
        <v/>
      </c>
      <c r="P31" s="30" t="str">
        <f t="shared" si="9"/>
        <v/>
      </c>
      <c r="Q31" s="30" t="str">
        <f t="shared" si="9"/>
        <v/>
      </c>
      <c r="R31" s="30" t="str">
        <f t="shared" si="9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0C21-E8A7-4364-985A-EAF4190FCEE1}">
  <dimension ref="A1:S18"/>
  <sheetViews>
    <sheetView showGridLines="0" workbookViewId="0">
      <selection activeCell="D27" sqref="D27"/>
    </sheetView>
  </sheetViews>
  <sheetFormatPr defaultRowHeight="12"/>
  <cols>
    <col min="1" max="1" width="8.88671875" style="25"/>
    <col min="2" max="2" width="51" style="25" bestFit="1" customWidth="1"/>
    <col min="3" max="18" width="11.21875" style="25" customWidth="1"/>
    <col min="19" max="16384" width="8.88671875" style="25"/>
  </cols>
  <sheetData>
    <row r="1" spans="1:19" s="1" customFormat="1" ht="13.2">
      <c r="B1" s="2"/>
      <c r="C1" s="2"/>
      <c r="D1" s="2"/>
      <c r="E1" s="2"/>
      <c r="F1" s="2"/>
      <c r="G1" s="2"/>
      <c r="H1" s="2"/>
      <c r="I1" s="2"/>
    </row>
    <row r="2" spans="1:19" ht="13.2">
      <c r="B2" s="101" t="s">
        <v>298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9" s="27" customFormat="1" ht="13.2">
      <c r="B3" s="26" t="s">
        <v>15</v>
      </c>
      <c r="C3" s="26">
        <f>IF(Pressupostos!F10&lt;&gt;"",Pressupostos!F10-1,"")</f>
        <v>2023</v>
      </c>
      <c r="D3" s="26">
        <f>IF(Pressupostos!F10&lt;&gt;"",Pressupostos!F10,"")</f>
        <v>2024</v>
      </c>
      <c r="E3" s="26">
        <f>IF(Pressupostos!G10&lt;&gt;"",Pressupostos!G10,"")</f>
        <v>2025</v>
      </c>
      <c r="F3" s="26" t="str">
        <f>IF(Pressupostos!H10&lt;&gt;"",Pressupostos!H10,"")</f>
        <v/>
      </c>
      <c r="G3" s="26" t="str">
        <f>IF(Pressupostos!I10&lt;&gt;"",Pressupostos!I10,"")</f>
        <v/>
      </c>
      <c r="H3" s="26" t="str">
        <f>IF(Pressupostos!J10&lt;&gt;"",Pressupostos!J10,"")</f>
        <v/>
      </c>
      <c r="I3" s="26" t="str">
        <f>IF(Pressupostos!K10&lt;&gt;"",Pressupostos!K10,"")</f>
        <v/>
      </c>
      <c r="J3" s="26" t="str">
        <f>IF(Pressupostos!L10&lt;&gt;"",Pressupostos!L10,"")</f>
        <v/>
      </c>
      <c r="K3" s="26" t="str">
        <f>IF(Pressupostos!M10&lt;&gt;"",Pressupostos!M10,"")</f>
        <v/>
      </c>
      <c r="L3" s="26" t="str">
        <f>IF(Pressupostos!N10&lt;&gt;"",Pressupostos!N10,"")</f>
        <v/>
      </c>
      <c r="M3" s="26" t="str">
        <f>IF(Pressupostos!O10&lt;&gt;"",Pressupostos!O10,"")</f>
        <v/>
      </c>
      <c r="N3" s="26" t="str">
        <f>IF(Pressupostos!P10&lt;&gt;"",Pressupostos!P10,"")</f>
        <v/>
      </c>
      <c r="O3" s="26" t="str">
        <f>IF(Pressupostos!Q10&lt;&gt;"",Pressupostos!Q10,"")</f>
        <v/>
      </c>
      <c r="P3" s="26" t="str">
        <f>IF(Pressupostos!R10&lt;&gt;"",Pressupostos!R10,"")</f>
        <v/>
      </c>
      <c r="Q3" s="26" t="str">
        <f>IF(Pressupostos!S10&lt;&gt;"",Pressupostos!S10,"")</f>
        <v/>
      </c>
      <c r="R3" s="26" t="str">
        <f>IF(Pressupostos!T10&lt;&gt;"",Pressupostos!T10,"")</f>
        <v/>
      </c>
    </row>
    <row r="4" spans="1:19" s="17" customFormat="1" ht="13.2">
      <c r="B4" s="70"/>
      <c r="C4" s="70"/>
      <c r="D4" s="70"/>
      <c r="E4" s="70"/>
      <c r="F4" s="70"/>
      <c r="G4" s="70"/>
      <c r="H4" s="70"/>
      <c r="I4" s="70"/>
      <c r="J4" s="27"/>
      <c r="K4" s="27"/>
      <c r="L4" s="27"/>
    </row>
    <row r="5" spans="1:19" s="17" customFormat="1" ht="13.2">
      <c r="A5" s="88"/>
      <c r="B5" s="28" t="s">
        <v>21</v>
      </c>
      <c r="C5" s="29"/>
      <c r="D5" s="29">
        <f>IF(D$3&lt;&gt;"",DR!C12,"")</f>
        <v>76452.739999999991</v>
      </c>
      <c r="E5" s="29">
        <f>IF(E$3&lt;&gt;"",DR!D12,"")</f>
        <v>141315.79479999997</v>
      </c>
      <c r="F5" s="29" t="str">
        <f>IF(F$3&lt;&gt;"",DR!E12,"")</f>
        <v/>
      </c>
      <c r="G5" s="29" t="str">
        <f>IF(G$3&lt;&gt;"",DR!F12,"")</f>
        <v/>
      </c>
      <c r="H5" s="29" t="str">
        <f>IF(H$3&lt;&gt;"",DR!G12,"")</f>
        <v/>
      </c>
      <c r="I5" s="29" t="str">
        <f>IF(I$3&lt;&gt;"",DR!H12,"")</f>
        <v/>
      </c>
      <c r="J5" s="29" t="str">
        <f>IF(J$3&lt;&gt;"",DR!I12,"")</f>
        <v/>
      </c>
      <c r="K5" s="29" t="str">
        <f>IF(K$3&lt;&gt;"",DR!J12,"")</f>
        <v/>
      </c>
      <c r="L5" s="29" t="str">
        <f>IF(L$3&lt;&gt;"",DR!K12,"")</f>
        <v/>
      </c>
      <c r="M5" s="29" t="str">
        <f>IF(M$3&lt;&gt;"",DR!L12,"")</f>
        <v/>
      </c>
      <c r="N5" s="29" t="str">
        <f>IF(N$3&lt;&gt;"",DR!M12,"")</f>
        <v/>
      </c>
      <c r="O5" s="29" t="str">
        <f>IF(O$3&lt;&gt;"",DR!N12,"")</f>
        <v/>
      </c>
      <c r="P5" s="29" t="str">
        <f>IF(P$3&lt;&gt;"",DR!O12,"")</f>
        <v/>
      </c>
      <c r="Q5" s="29" t="str">
        <f>IF(Q$3&lt;&gt;"",DR!P12,"")</f>
        <v/>
      </c>
      <c r="R5" s="29" t="str">
        <f>IF(R$3&lt;&gt;"",DR!Q12,"")</f>
        <v/>
      </c>
    </row>
    <row r="6" spans="1:19" s="17" customFormat="1" ht="13.2">
      <c r="A6" s="88"/>
      <c r="B6" s="28" t="s">
        <v>239</v>
      </c>
      <c r="C6" s="29"/>
      <c r="D6" s="29">
        <f>IF(D$3&lt;&gt;"",-D5*DR!C25,"")</f>
        <v>-17201.866499999996</v>
      </c>
      <c r="E6" s="29">
        <f>IF(E$3&lt;&gt;"",-E5*DR!D25,"")</f>
        <v>-31796.05382999999</v>
      </c>
      <c r="F6" s="29" t="str">
        <f>IF(F$3&lt;&gt;"",-F5*DR!E25,"")</f>
        <v/>
      </c>
      <c r="G6" s="29" t="str">
        <f>IF(G$3&lt;&gt;"",-G5*DR!F25,"")</f>
        <v/>
      </c>
      <c r="H6" s="29" t="str">
        <f>IF(H$3&lt;&gt;"",-H5*DR!G25,"")</f>
        <v/>
      </c>
      <c r="I6" s="29" t="str">
        <f>IF(I$3&lt;&gt;"",-I5*DR!H25,"")</f>
        <v/>
      </c>
      <c r="J6" s="29" t="str">
        <f>IF(J$3&lt;&gt;"",-J5*DR!I25,"")</f>
        <v/>
      </c>
      <c r="K6" s="29" t="str">
        <f>IF(K$3&lt;&gt;"",-K5*DR!J25,"")</f>
        <v/>
      </c>
      <c r="L6" s="29" t="str">
        <f>IF(L$3&lt;&gt;"",-L5*DR!K25,"")</f>
        <v/>
      </c>
      <c r="M6" s="29" t="str">
        <f>IF(M$3&lt;&gt;"",-M5*DR!L25,"")</f>
        <v/>
      </c>
      <c r="N6" s="29" t="str">
        <f>IF(N$3&lt;&gt;"",-N5*DR!M25,"")</f>
        <v/>
      </c>
      <c r="O6" s="29" t="str">
        <f>IF(O$3&lt;&gt;"",-O5*DR!N25,"")</f>
        <v/>
      </c>
      <c r="P6" s="29" t="str">
        <f>IF(P$3&lt;&gt;"",-P5*DR!O25,"")</f>
        <v/>
      </c>
      <c r="Q6" s="29" t="str">
        <f>IF(Q$3&lt;&gt;"",-Q5*DR!P25,"")</f>
        <v/>
      </c>
      <c r="R6" s="29" t="str">
        <f>IF(R$3&lt;&gt;"",-R5*DR!Q25,"")</f>
        <v/>
      </c>
    </row>
    <row r="7" spans="1:19" s="17" customFormat="1" ht="13.2">
      <c r="A7" s="88"/>
      <c r="B7" s="89" t="s">
        <v>20</v>
      </c>
      <c r="C7" s="90"/>
      <c r="D7" s="29">
        <f>IF(D$3&lt;&gt;"",-DR!C11,"")</f>
        <v>33700</v>
      </c>
      <c r="E7" s="29">
        <f>IF(E$3&lt;&gt;"",-DR!D11,"")</f>
        <v>38200</v>
      </c>
      <c r="F7" s="29" t="str">
        <f>IF(F$3&lt;&gt;"",-DR!E11,"")</f>
        <v/>
      </c>
      <c r="G7" s="29" t="str">
        <f>IF(G$3&lt;&gt;"",-DR!F11,"")</f>
        <v/>
      </c>
      <c r="H7" s="29" t="str">
        <f>IF(H$3&lt;&gt;"",-DR!G11,"")</f>
        <v/>
      </c>
      <c r="I7" s="29" t="str">
        <f>IF(I$3&lt;&gt;"",-DR!H11,"")</f>
        <v/>
      </c>
      <c r="J7" s="29" t="str">
        <f>IF(J$3&lt;&gt;"",-DR!I11,"")</f>
        <v/>
      </c>
      <c r="K7" s="29" t="str">
        <f>IF(K$3&lt;&gt;"",-DR!J11,"")</f>
        <v/>
      </c>
      <c r="L7" s="29" t="str">
        <f>IF(L$3&lt;&gt;"",-DR!K11,"")</f>
        <v/>
      </c>
      <c r="M7" s="29" t="str">
        <f>IF(M$3&lt;&gt;"",-DR!L11,"")</f>
        <v/>
      </c>
      <c r="N7" s="29" t="str">
        <f>IF(N$3&lt;&gt;"",-DR!M11,"")</f>
        <v/>
      </c>
      <c r="O7" s="29" t="str">
        <f>IF(O$3&lt;&gt;"",-DR!N11,"")</f>
        <v/>
      </c>
      <c r="P7" s="29" t="str">
        <f>IF(P$3&lt;&gt;"",-DR!O11,"")</f>
        <v/>
      </c>
      <c r="Q7" s="29" t="str">
        <f>IF(Q$3&lt;&gt;"",-DR!P11,"")</f>
        <v/>
      </c>
      <c r="R7" s="29" t="str">
        <f>IF(R$3&lt;&gt;"",-DR!Q11,"")</f>
        <v/>
      </c>
    </row>
    <row r="8" spans="1:19" s="17" customFormat="1" ht="13.2">
      <c r="A8" s="88"/>
      <c r="B8" s="89" t="s">
        <v>240</v>
      </c>
      <c r="C8" s="90">
        <f>IF(C$3&lt;&gt;"",-Pressupostos!E167-Pressupostos!E189,"")</f>
        <v>-424000</v>
      </c>
      <c r="D8" s="90">
        <f>IF(D$3&lt;&gt;"",-Pressupostos!F167-Pressupostos!F189,"")</f>
        <v>-110000</v>
      </c>
      <c r="E8" s="90">
        <f>IF(E$3&lt;&gt;"",-Pressupostos!G167-Pressupostos!G189,"")</f>
        <v>-22000</v>
      </c>
      <c r="F8" s="90" t="str">
        <f>IF(F$3&lt;&gt;"",-Pressupostos!H167-Pressupostos!H189,"")</f>
        <v/>
      </c>
      <c r="G8" s="90" t="str">
        <f>IF(G$3&lt;&gt;"",-Pressupostos!I167-Pressupostos!I189,"")</f>
        <v/>
      </c>
      <c r="H8" s="90" t="str">
        <f>IF(H$3&lt;&gt;"",-Pressupostos!J167-Pressupostos!J189,"")</f>
        <v/>
      </c>
      <c r="I8" s="90" t="str">
        <f>IF(I$3&lt;&gt;"",-Pressupostos!K167-Pressupostos!K189,"")</f>
        <v/>
      </c>
      <c r="J8" s="90" t="str">
        <f>IF(J$3&lt;&gt;"",-Pressupostos!L167-Pressupostos!L189,"")</f>
        <v/>
      </c>
      <c r="K8" s="90" t="str">
        <f>IF(K$3&lt;&gt;"",-Pressupostos!M167-Pressupostos!M189,"")</f>
        <v/>
      </c>
      <c r="L8" s="90" t="str">
        <f>IF(L$3&lt;&gt;"",-Pressupostos!N167-Pressupostos!N189,"")</f>
        <v/>
      </c>
      <c r="M8" s="90" t="str">
        <f>IF(M$3&lt;&gt;"",-Pressupostos!O167-Pressupostos!O189,"")</f>
        <v/>
      </c>
      <c r="N8" s="90" t="str">
        <f>IF(N$3&lt;&gt;"",-Pressupostos!P167-Pressupostos!P189,"")</f>
        <v/>
      </c>
      <c r="O8" s="90" t="str">
        <f>IF(O$3&lt;&gt;"",-Pressupostos!Q167-Pressupostos!Q189,"")</f>
        <v/>
      </c>
      <c r="P8" s="90" t="str">
        <f>IF(P$3&lt;&gt;"",-Pressupostos!R167-Pressupostos!R189,"")</f>
        <v/>
      </c>
      <c r="Q8" s="90" t="str">
        <f>IF(Q$3&lt;&gt;"",-Pressupostos!S167-Pressupostos!S189,"")</f>
        <v/>
      </c>
      <c r="R8" s="90" t="str">
        <f>IF(R$3&lt;&gt;"",-Pressupostos!T167-Pressupostos!T189,"")</f>
        <v/>
      </c>
    </row>
    <row r="9" spans="1:19" s="17" customFormat="1" ht="13.2">
      <c r="A9" s="88"/>
      <c r="B9" s="91" t="s">
        <v>241</v>
      </c>
      <c r="C9" s="92"/>
      <c r="D9" s="92">
        <f>IF(D$3&lt;&gt;"",-NFM!D31,"")</f>
        <v>-50950.433000000005</v>
      </c>
      <c r="E9" s="92">
        <f>IF(E$3&lt;&gt;"",-NFM!E31,"")</f>
        <v>-26924.080326666648</v>
      </c>
      <c r="F9" s="92" t="str">
        <f>IF(F$3&lt;&gt;"",-NFM!F31,"")</f>
        <v/>
      </c>
      <c r="G9" s="92" t="str">
        <f>IF(G$3&lt;&gt;"",-NFM!G31,"")</f>
        <v/>
      </c>
      <c r="H9" s="92" t="str">
        <f>IF(H$3&lt;&gt;"",-NFM!H31,"")</f>
        <v/>
      </c>
      <c r="I9" s="92" t="str">
        <f>IF(I$3&lt;&gt;"",-NFM!I31,"")</f>
        <v/>
      </c>
      <c r="J9" s="92" t="str">
        <f>IF(J$3&lt;&gt;"",-NFM!J31,"")</f>
        <v/>
      </c>
      <c r="K9" s="92" t="str">
        <f>IF(K$3&lt;&gt;"",-NFM!K31,"")</f>
        <v/>
      </c>
      <c r="L9" s="92" t="str">
        <f>IF(L$3&lt;&gt;"",-NFM!L31,"")</f>
        <v/>
      </c>
      <c r="M9" s="92" t="str">
        <f>IF(M$3&lt;&gt;"",-NFM!M31,"")</f>
        <v/>
      </c>
      <c r="N9" s="92" t="str">
        <f>IF(N$3&lt;&gt;"",-NFM!N31,"")</f>
        <v/>
      </c>
      <c r="O9" s="92" t="str">
        <f>IF(O$3&lt;&gt;"",-NFM!O31,"")</f>
        <v/>
      </c>
      <c r="P9" s="92" t="str">
        <f>IF(P$3&lt;&gt;"",-NFM!P31,"")</f>
        <v/>
      </c>
      <c r="Q9" s="92" t="str">
        <f>IF(Q$3&lt;&gt;"",-NFM!Q31,"")</f>
        <v/>
      </c>
      <c r="R9" s="92" t="str">
        <f>IF(R$3&lt;&gt;"",-NFM!R31,"")</f>
        <v/>
      </c>
    </row>
    <row r="10" spans="1:19" s="17" customFormat="1" ht="13.2">
      <c r="B10" s="93" t="s">
        <v>242</v>
      </c>
      <c r="C10" s="94">
        <f>IF(C$3&lt;&gt;"",SUM(C5:C9),"")</f>
        <v>-424000</v>
      </c>
      <c r="D10" s="94">
        <f t="shared" ref="D10:R10" si="0">IF(D$3&lt;&gt;"",SUM(D5:D9),"")</f>
        <v>-67999.559500000018</v>
      </c>
      <c r="E10" s="94">
        <f t="shared" si="0"/>
        <v>98795.660643333336</v>
      </c>
      <c r="F10" s="94" t="str">
        <f t="shared" si="0"/>
        <v/>
      </c>
      <c r="G10" s="94" t="str">
        <f t="shared" si="0"/>
        <v/>
      </c>
      <c r="H10" s="94" t="str">
        <f t="shared" si="0"/>
        <v/>
      </c>
      <c r="I10" s="94" t="str">
        <f t="shared" si="0"/>
        <v/>
      </c>
      <c r="J10" s="94" t="str">
        <f t="shared" si="0"/>
        <v/>
      </c>
      <c r="K10" s="94" t="str">
        <f t="shared" si="0"/>
        <v/>
      </c>
      <c r="L10" s="94" t="str">
        <f t="shared" si="0"/>
        <v/>
      </c>
      <c r="M10" s="94" t="str">
        <f t="shared" si="0"/>
        <v/>
      </c>
      <c r="N10" s="94" t="str">
        <f t="shared" si="0"/>
        <v/>
      </c>
      <c r="O10" s="94" t="str">
        <f t="shared" si="0"/>
        <v/>
      </c>
      <c r="P10" s="94" t="str">
        <f t="shared" si="0"/>
        <v/>
      </c>
      <c r="Q10" s="94" t="str">
        <f t="shared" si="0"/>
        <v/>
      </c>
      <c r="R10" s="94" t="str">
        <f t="shared" si="0"/>
        <v/>
      </c>
    </row>
    <row r="11" spans="1:19" ht="13.2">
      <c r="B11" s="17" t="s">
        <v>283</v>
      </c>
      <c r="C11" s="90"/>
      <c r="D11" s="90">
        <f>IF(D$3&lt;&gt;"",DR!C13*(1-DR!C25),"")</f>
        <v>-6119.5848255364708</v>
      </c>
      <c r="E11" s="90">
        <f>IF(E$3&lt;&gt;"",DR!D13*(1-DR!D25),"")</f>
        <v>-1956.8362740098578</v>
      </c>
      <c r="F11" s="90" t="str">
        <f>IF(F$3&lt;&gt;"",DR!E13*(1-DR!E25),"")</f>
        <v/>
      </c>
      <c r="G11" s="90" t="str">
        <f>IF(G$3&lt;&gt;"",DR!F13*(1-DR!F25),"")</f>
        <v/>
      </c>
      <c r="H11" s="90" t="str">
        <f>IF(H$3&lt;&gt;"",DR!G13*(1-DR!G25),"")</f>
        <v/>
      </c>
      <c r="I11" s="90" t="str">
        <f>IF(I$3&lt;&gt;"",DR!H13*(1-DR!H25),"")</f>
        <v/>
      </c>
      <c r="J11" s="90" t="str">
        <f>IF(J$3&lt;&gt;"",DR!I13*(1-DR!I25),"")</f>
        <v/>
      </c>
      <c r="K11" s="90" t="str">
        <f>IF(K$3&lt;&gt;"",DR!J13*(1-DR!J25),"")</f>
        <v/>
      </c>
      <c r="L11" s="90" t="str">
        <f>IF(L$3&lt;&gt;"",DR!K13*(1-DR!K25),"")</f>
        <v/>
      </c>
      <c r="M11" s="90" t="str">
        <f>IF(M$3&lt;&gt;"",DR!L13*(1-DR!L25),"")</f>
        <v/>
      </c>
      <c r="N11" s="90" t="str">
        <f>IF(N$3&lt;&gt;"",DR!M13*(1-DR!M25),"")</f>
        <v/>
      </c>
      <c r="O11" s="90" t="str">
        <f>IF(O$3&lt;&gt;"",DR!N13*(1-DR!N25),"")</f>
        <v/>
      </c>
      <c r="P11" s="90" t="str">
        <f>IF(P$3&lt;&gt;"",DR!O13*(1-DR!O25),"")</f>
        <v/>
      </c>
      <c r="Q11" s="90" t="str">
        <f>IF(Q$3&lt;&gt;"",DR!P13*(1-DR!P25),"")</f>
        <v/>
      </c>
      <c r="R11" s="90" t="str">
        <f>IF(R$3&lt;&gt;"",DR!Q13*(1-DR!Q25),"")</f>
        <v/>
      </c>
    </row>
    <row r="12" spans="1:19" ht="13.2">
      <c r="B12" s="91" t="s">
        <v>284</v>
      </c>
      <c r="C12" s="92">
        <f>IF(C$3&lt;&gt;"",Empréstimo!E198+Empréstimo!E199-Empréstimo!D198-Empréstimo!D199,"")</f>
        <v>173600</v>
      </c>
      <c r="D12" s="92">
        <f>IF(D$3&lt;&gt;"",-Empréstimo!F200,"")</f>
        <v>-84634.957474239083</v>
      </c>
      <c r="E12" s="92">
        <f>IF(E$3&lt;&gt;"",-Empréstimo!G200,"")</f>
        <v>-88965.042525760946</v>
      </c>
      <c r="F12" s="92" t="str">
        <f>IF(F$3&lt;&gt;"",-Empréstimo!H200,"")</f>
        <v/>
      </c>
      <c r="G12" s="92" t="str">
        <f>IF(G$3&lt;&gt;"",-Empréstimo!I200,"")</f>
        <v/>
      </c>
      <c r="H12" s="92" t="str">
        <f>IF(H$3&lt;&gt;"",-Empréstimo!J200,"")</f>
        <v/>
      </c>
      <c r="I12" s="92" t="str">
        <f>IF(I$3&lt;&gt;"",-Empréstimo!K200,"")</f>
        <v/>
      </c>
      <c r="J12" s="92" t="str">
        <f>IF(J$3&lt;&gt;"",-Empréstimo!L200,"")</f>
        <v/>
      </c>
      <c r="K12" s="92" t="str">
        <f>IF(K$3&lt;&gt;"",-Empréstimo!M200,"")</f>
        <v/>
      </c>
      <c r="L12" s="92" t="str">
        <f>IF(L$3&lt;&gt;"",-Empréstimo!N200,"")</f>
        <v/>
      </c>
      <c r="M12" s="92" t="str">
        <f>IF(M$3&lt;&gt;"",-Empréstimo!O200,"")</f>
        <v/>
      </c>
      <c r="N12" s="92" t="str">
        <f>IF(N$3&lt;&gt;"",-Empréstimo!P200,"")</f>
        <v/>
      </c>
      <c r="O12" s="92" t="str">
        <f>IF(O$3&lt;&gt;"",-Empréstimo!Q200,"")</f>
        <v/>
      </c>
      <c r="P12" s="92" t="str">
        <f>IF(P$3&lt;&gt;"",-Empréstimo!R200,"")</f>
        <v/>
      </c>
      <c r="Q12" s="92" t="str">
        <f>IF(Q$3&lt;&gt;"",-Empréstimo!S200,"")</f>
        <v/>
      </c>
      <c r="R12" s="92" t="str">
        <f>IF(R$3&lt;&gt;"",-Empréstimo!T200,"")</f>
        <v/>
      </c>
    </row>
    <row r="13" spans="1:19" ht="13.2">
      <c r="B13" s="93" t="s">
        <v>285</v>
      </c>
      <c r="C13" s="94">
        <f>IF(C$3&lt;&gt;"",SUM(C10:C12),"")</f>
        <v>-250400</v>
      </c>
      <c r="D13" s="94">
        <f t="shared" ref="D13:R13" si="1">IF(D$3&lt;&gt;"",SUM(D10:D12),"")</f>
        <v>-158754.10179977556</v>
      </c>
      <c r="E13" s="94">
        <f t="shared" si="1"/>
        <v>7873.7818435625377</v>
      </c>
      <c r="F13" s="94" t="str">
        <f t="shared" si="1"/>
        <v/>
      </c>
      <c r="G13" s="94" t="str">
        <f t="shared" si="1"/>
        <v/>
      </c>
      <c r="H13" s="94" t="str">
        <f t="shared" si="1"/>
        <v/>
      </c>
      <c r="I13" s="94" t="str">
        <f t="shared" si="1"/>
        <v/>
      </c>
      <c r="J13" s="94" t="str">
        <f t="shared" si="1"/>
        <v/>
      </c>
      <c r="K13" s="94" t="str">
        <f t="shared" si="1"/>
        <v/>
      </c>
      <c r="L13" s="94" t="str">
        <f t="shared" si="1"/>
        <v/>
      </c>
      <c r="M13" s="94" t="str">
        <f t="shared" si="1"/>
        <v/>
      </c>
      <c r="N13" s="94" t="str">
        <f t="shared" si="1"/>
        <v/>
      </c>
      <c r="O13" s="94" t="str">
        <f t="shared" si="1"/>
        <v/>
      </c>
      <c r="P13" s="94" t="str">
        <f t="shared" si="1"/>
        <v/>
      </c>
      <c r="Q13" s="94" t="str">
        <f t="shared" si="1"/>
        <v/>
      </c>
      <c r="R13" s="94" t="str">
        <f t="shared" si="1"/>
        <v/>
      </c>
      <c r="S13" s="94"/>
    </row>
    <row r="15" spans="1:19" s="17" customFormat="1" ht="13.2">
      <c r="A15" s="88"/>
      <c r="B15" s="89" t="s">
        <v>294</v>
      </c>
      <c r="C15" s="90">
        <f>IF(C$3&lt;&gt;"",C13,"")</f>
        <v>-250400</v>
      </c>
      <c r="D15" s="90">
        <f>IF(D$3&lt;&gt;"",C18+D13,"")</f>
        <v>-148754.10179977556</v>
      </c>
      <c r="E15" s="90">
        <f>IF(E$3&lt;&gt;"",D18+E13,"")</f>
        <v>17873.781843562538</v>
      </c>
      <c r="F15" s="90" t="str">
        <f>IF(F$3&lt;&gt;"",E18+F13,"")</f>
        <v/>
      </c>
      <c r="G15" s="90" t="str">
        <f>IF(G$3&lt;&gt;"",F18+G13,"")</f>
        <v/>
      </c>
      <c r="H15" s="90" t="str">
        <f t="shared" ref="H15:R15" si="2">IF(H$3&lt;&gt;"",G18+H13,"")</f>
        <v/>
      </c>
      <c r="I15" s="90" t="str">
        <f t="shared" si="2"/>
        <v/>
      </c>
      <c r="J15" s="90" t="str">
        <f t="shared" si="2"/>
        <v/>
      </c>
      <c r="K15" s="90" t="str">
        <f t="shared" si="2"/>
        <v/>
      </c>
      <c r="L15" s="90" t="str">
        <f t="shared" si="2"/>
        <v/>
      </c>
      <c r="M15" s="90" t="str">
        <f t="shared" si="2"/>
        <v/>
      </c>
      <c r="N15" s="90" t="str">
        <f t="shared" si="2"/>
        <v/>
      </c>
      <c r="O15" s="90" t="str">
        <f t="shared" si="2"/>
        <v/>
      </c>
      <c r="P15" s="90" t="str">
        <f t="shared" si="2"/>
        <v/>
      </c>
      <c r="Q15" s="90" t="str">
        <f t="shared" si="2"/>
        <v/>
      </c>
      <c r="R15" s="90" t="str">
        <f t="shared" si="2"/>
        <v/>
      </c>
    </row>
    <row r="16" spans="1:19" s="17" customFormat="1" ht="13.2">
      <c r="A16" s="88"/>
      <c r="B16" s="89" t="s">
        <v>296</v>
      </c>
      <c r="C16" s="90">
        <f>IF(C$3&lt;&gt;"",Pressupostos!F262,"")</f>
        <v>260400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</row>
    <row r="17" spans="1:18" s="17" customFormat="1" ht="13.2">
      <c r="A17" s="88"/>
      <c r="B17" s="89" t="s">
        <v>293</v>
      </c>
      <c r="C17" s="90"/>
      <c r="D17" s="90">
        <f>IF(D$3&lt;&gt;"",IF(D15&lt;$C$18,-D13,0),"")</f>
        <v>158754.10179977556</v>
      </c>
      <c r="E17" s="90">
        <f t="shared" ref="E17:R17" si="3">IF(E$3&lt;&gt;"",IF(E15&lt;$C$18,-E15+D18,0),"")</f>
        <v>0</v>
      </c>
      <c r="F17" s="90" t="str">
        <f t="shared" si="3"/>
        <v/>
      </c>
      <c r="G17" s="90" t="str">
        <f t="shared" si="3"/>
        <v/>
      </c>
      <c r="H17" s="90" t="str">
        <f t="shared" si="3"/>
        <v/>
      </c>
      <c r="I17" s="90" t="str">
        <f t="shared" si="3"/>
        <v/>
      </c>
      <c r="J17" s="90" t="str">
        <f t="shared" si="3"/>
        <v/>
      </c>
      <c r="K17" s="90" t="str">
        <f t="shared" si="3"/>
        <v/>
      </c>
      <c r="L17" s="90" t="str">
        <f t="shared" si="3"/>
        <v/>
      </c>
      <c r="M17" s="90" t="str">
        <f t="shared" si="3"/>
        <v/>
      </c>
      <c r="N17" s="90" t="str">
        <f t="shared" si="3"/>
        <v/>
      </c>
      <c r="O17" s="90" t="str">
        <f t="shared" si="3"/>
        <v/>
      </c>
      <c r="P17" s="90" t="str">
        <f t="shared" si="3"/>
        <v/>
      </c>
      <c r="Q17" s="90" t="str">
        <f t="shared" si="3"/>
        <v/>
      </c>
      <c r="R17" s="90" t="str">
        <f t="shared" si="3"/>
        <v/>
      </c>
    </row>
    <row r="18" spans="1:18" ht="13.2">
      <c r="B18" s="91" t="s">
        <v>295</v>
      </c>
      <c r="C18" s="92">
        <f>IF(C$3&lt;&gt;"",SUM(C15:C17),"")</f>
        <v>10000</v>
      </c>
      <c r="D18" s="92">
        <f t="shared" ref="D18:R18" si="4">IF(D$3&lt;&gt;"",SUM(D15:D17),"")</f>
        <v>10000</v>
      </c>
      <c r="E18" s="92">
        <f t="shared" si="4"/>
        <v>17873.781843562538</v>
      </c>
      <c r="F18" s="92" t="str">
        <f t="shared" si="4"/>
        <v/>
      </c>
      <c r="G18" s="92" t="str">
        <f t="shared" si="4"/>
        <v/>
      </c>
      <c r="H18" s="92" t="str">
        <f t="shared" si="4"/>
        <v/>
      </c>
      <c r="I18" s="92" t="str">
        <f t="shared" si="4"/>
        <v/>
      </c>
      <c r="J18" s="92" t="str">
        <f t="shared" si="4"/>
        <v/>
      </c>
      <c r="K18" s="92" t="str">
        <f t="shared" si="4"/>
        <v/>
      </c>
      <c r="L18" s="92" t="str">
        <f t="shared" si="4"/>
        <v/>
      </c>
      <c r="M18" s="92" t="str">
        <f t="shared" si="4"/>
        <v/>
      </c>
      <c r="N18" s="92" t="str">
        <f t="shared" si="4"/>
        <v/>
      </c>
      <c r="O18" s="92" t="str">
        <f t="shared" si="4"/>
        <v/>
      </c>
      <c r="P18" s="92" t="str">
        <f t="shared" si="4"/>
        <v/>
      </c>
      <c r="Q18" s="92" t="str">
        <f t="shared" si="4"/>
        <v/>
      </c>
      <c r="R18" s="92" t="str">
        <f t="shared" si="4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763C-3102-4ECB-966D-CED66227F3CE}">
  <dimension ref="B1:R74"/>
  <sheetViews>
    <sheetView showGridLines="0" topLeftCell="A38" workbookViewId="0">
      <selection activeCell="D27" sqref="D27"/>
    </sheetView>
  </sheetViews>
  <sheetFormatPr defaultRowHeight="12"/>
  <cols>
    <col min="1" max="1" width="8.88671875" style="25"/>
    <col min="2" max="2" width="49" style="25" bestFit="1" customWidth="1"/>
    <col min="3" max="3" width="10.21875" style="25" customWidth="1"/>
    <col min="4" max="4" width="11.33203125" style="25" bestFit="1" customWidth="1"/>
    <col min="5" max="12" width="10.21875" style="25" customWidth="1"/>
    <col min="13" max="16384" width="8.88671875" style="25"/>
  </cols>
  <sheetData>
    <row r="1" spans="2:18" s="1" customFormat="1" ht="15" customHeight="1">
      <c r="B1" s="2"/>
    </row>
    <row r="2" spans="2:18" ht="13.2">
      <c r="B2" s="101" t="s">
        <v>181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8" s="27" customFormat="1" ht="13.2">
      <c r="B3" s="26" t="s">
        <v>15</v>
      </c>
      <c r="C3" s="26">
        <f>IF(Pressupostos!F10&lt;&gt;"",Pressupostos!F10-1,"")</f>
        <v>2023</v>
      </c>
      <c r="D3" s="26">
        <f>IF(Pressupostos!F10&lt;&gt;"",Pressupostos!F10,"")</f>
        <v>2024</v>
      </c>
      <c r="E3" s="26">
        <f>IF(Pressupostos!G10&lt;&gt;"",Pressupostos!G10,"")</f>
        <v>2025</v>
      </c>
      <c r="F3" s="26" t="str">
        <f>IF(Pressupostos!H10&lt;&gt;"",Pressupostos!H10,"")</f>
        <v/>
      </c>
      <c r="G3" s="26" t="str">
        <f>IF(Pressupostos!I10&lt;&gt;"",Pressupostos!I10,"")</f>
        <v/>
      </c>
      <c r="H3" s="26" t="str">
        <f>IF(Pressupostos!J10&lt;&gt;"",Pressupostos!J10,"")</f>
        <v/>
      </c>
      <c r="I3" s="26" t="str">
        <f>IF(Pressupostos!K10&lt;&gt;"",Pressupostos!K10,"")</f>
        <v/>
      </c>
      <c r="J3" s="26" t="str">
        <f>IF(Pressupostos!L10&lt;&gt;"",Pressupostos!L10,"")</f>
        <v/>
      </c>
      <c r="K3" s="26" t="str">
        <f>IF(Pressupostos!M10&lt;&gt;"",Pressupostos!M10,"")</f>
        <v/>
      </c>
      <c r="L3" s="26" t="str">
        <f>IF(Pressupostos!N10&lt;&gt;"",Pressupostos!N10,"")</f>
        <v/>
      </c>
      <c r="M3" s="26" t="str">
        <f>IF(Pressupostos!O10&lt;&gt;"",Pressupostos!O10,"")</f>
        <v/>
      </c>
      <c r="N3" s="26" t="str">
        <f>IF(Pressupostos!P10&lt;&gt;"",Pressupostos!P10,"")</f>
        <v/>
      </c>
      <c r="O3" s="26" t="str">
        <f>IF(Pressupostos!Q10&lt;&gt;"",Pressupostos!Q10,"")</f>
        <v/>
      </c>
      <c r="P3" s="26" t="str">
        <f>IF(Pressupostos!R10&lt;&gt;"",Pressupostos!R10,"")</f>
        <v/>
      </c>
      <c r="Q3" s="26" t="str">
        <f>IF(Pressupostos!S10&lt;&gt;"",Pressupostos!S10,"")</f>
        <v/>
      </c>
      <c r="R3" s="26" t="str">
        <f>IF(Pressupostos!T10&lt;&gt;"",Pressupostos!T10,"")</f>
        <v/>
      </c>
    </row>
    <row r="4" spans="2:18" s="17" customFormat="1" ht="13.2">
      <c r="B4" s="70"/>
      <c r="C4" s="27"/>
      <c r="D4" s="27"/>
      <c r="E4" s="27"/>
      <c r="F4" s="27"/>
      <c r="G4" s="27"/>
      <c r="H4" s="27"/>
      <c r="I4" s="27"/>
      <c r="J4" s="27"/>
      <c r="K4" s="27"/>
      <c r="L4" s="30"/>
    </row>
    <row r="5" spans="2:18" s="17" customFormat="1" ht="13.2">
      <c r="B5" s="70" t="s">
        <v>182</v>
      </c>
      <c r="C5" s="70"/>
      <c r="D5" s="70"/>
      <c r="E5" s="70"/>
      <c r="F5" s="70"/>
      <c r="G5" s="70"/>
      <c r="H5" s="70"/>
      <c r="I5" s="70"/>
      <c r="J5" s="70"/>
      <c r="K5" s="70"/>
      <c r="L5" s="30"/>
    </row>
    <row r="6" spans="2:18" s="17" customFormat="1" ht="13.2">
      <c r="B6" s="37" t="s">
        <v>183</v>
      </c>
      <c r="C6" s="37"/>
      <c r="D6" s="37"/>
      <c r="E6" s="37"/>
      <c r="F6" s="37"/>
      <c r="G6" s="37"/>
      <c r="H6" s="37"/>
      <c r="I6" s="37"/>
      <c r="J6" s="37"/>
      <c r="K6" s="37"/>
      <c r="L6" s="30"/>
      <c r="N6" s="30"/>
    </row>
    <row r="7" spans="2:18" s="17" customFormat="1" ht="13.2">
      <c r="B7" s="71" t="s">
        <v>184</v>
      </c>
      <c r="C7" s="72">
        <f>IF(C$3&lt;&gt;"",Pressupostos!E249-Pressupostos!E255,"")</f>
        <v>412000</v>
      </c>
      <c r="D7" s="72">
        <f>IF(D$3&lt;&gt;"",Pressupostos!F249-Pressupostos!F255,"")</f>
        <v>489500</v>
      </c>
      <c r="E7" s="72">
        <f>IF(E$3&lt;&gt;"",Pressupostos!G249-Pressupostos!G255,"")</f>
        <v>472500</v>
      </c>
      <c r="F7" s="72" t="str">
        <f>IF(F$3&lt;&gt;"",Pressupostos!H249-Pressupostos!H255,"")</f>
        <v/>
      </c>
      <c r="G7" s="72" t="str">
        <f>IF(G$3&lt;&gt;"",Pressupostos!I249-Pressupostos!I255,"")</f>
        <v/>
      </c>
      <c r="H7" s="72" t="str">
        <f>IF(H$3&lt;&gt;"",Pressupostos!J249-Pressupostos!J255,"")</f>
        <v/>
      </c>
      <c r="I7" s="72" t="str">
        <f>IF(I$3&lt;&gt;"",Pressupostos!K249-Pressupostos!K255,"")</f>
        <v/>
      </c>
      <c r="J7" s="72" t="str">
        <f>IF(J$3&lt;&gt;"",Pressupostos!L249-Pressupostos!L255,"")</f>
        <v/>
      </c>
      <c r="K7" s="72" t="str">
        <f>IF(K$3&lt;&gt;"",Pressupostos!M249-Pressupostos!M255,"")</f>
        <v/>
      </c>
      <c r="L7" s="72" t="str">
        <f>IF(L$3&lt;&gt;"",Pressupostos!N249-Pressupostos!N255,"")</f>
        <v/>
      </c>
      <c r="M7" s="72" t="str">
        <f>IF(M$3&lt;&gt;"",Pressupostos!O249-Pressupostos!O255,"")</f>
        <v/>
      </c>
      <c r="N7" s="72" t="str">
        <f>IF(N$3&lt;&gt;"",Pressupostos!P249-Pressupostos!P255,"")</f>
        <v/>
      </c>
      <c r="O7" s="72" t="str">
        <f>IF(O$3&lt;&gt;"",Pressupostos!Q249-Pressupostos!Q255,"")</f>
        <v/>
      </c>
      <c r="P7" s="72" t="str">
        <f>IF(P$3&lt;&gt;"",Pressupostos!R249-Pressupostos!R255,"")</f>
        <v/>
      </c>
      <c r="Q7" s="72" t="str">
        <f>IF(Q$3&lt;&gt;"",Pressupostos!S249-Pressupostos!S255,"")</f>
        <v/>
      </c>
      <c r="R7" s="72" t="str">
        <f>IF(R$3&lt;&gt;"",Pressupostos!T249-Pressupostos!T255,"")</f>
        <v/>
      </c>
    </row>
    <row r="8" spans="2:18" s="17" customFormat="1" ht="13.2" hidden="1">
      <c r="B8" s="71" t="s">
        <v>185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</row>
    <row r="9" spans="2:18" s="17" customFormat="1" ht="13.2">
      <c r="B9" s="71" t="s">
        <v>186</v>
      </c>
      <c r="C9" s="72">
        <f>IF(C$3&lt;&gt;"",Pressupostos!E250-Pressupostos!E256,"")</f>
        <v>12000</v>
      </c>
      <c r="D9" s="72">
        <f>IF(D$3&lt;&gt;"",Pressupostos!F250-Pressupostos!F256,"")</f>
        <v>10800</v>
      </c>
      <c r="E9" s="72">
        <f>IF(E$3&lt;&gt;"",Pressupostos!G250-Pressupostos!G256,"")</f>
        <v>11600</v>
      </c>
      <c r="F9" s="72" t="str">
        <f>IF(F$3&lt;&gt;"",Pressupostos!H250-Pressupostos!H256,"")</f>
        <v/>
      </c>
      <c r="G9" s="72" t="str">
        <f>IF(G$3&lt;&gt;"",Pressupostos!I250-Pressupostos!I256,"")</f>
        <v/>
      </c>
      <c r="H9" s="72" t="str">
        <f>IF(H$3&lt;&gt;"",Pressupostos!J250-Pressupostos!J256,"")</f>
        <v/>
      </c>
      <c r="I9" s="72" t="str">
        <f>IF(I$3&lt;&gt;"",Pressupostos!K250-Pressupostos!K256,"")</f>
        <v/>
      </c>
      <c r="J9" s="72" t="str">
        <f>IF(J$3&lt;&gt;"",Pressupostos!L250-Pressupostos!L256,"")</f>
        <v/>
      </c>
      <c r="K9" s="72" t="str">
        <f>IF(K$3&lt;&gt;"",Pressupostos!M250-Pressupostos!M256,"")</f>
        <v/>
      </c>
      <c r="L9" s="72" t="str">
        <f>IF(L$3&lt;&gt;"",Pressupostos!N250-Pressupostos!N256,"")</f>
        <v/>
      </c>
      <c r="M9" s="72" t="str">
        <f>IF(M$3&lt;&gt;"",Pressupostos!O250-Pressupostos!O256,"")</f>
        <v/>
      </c>
      <c r="N9" s="72" t="str">
        <f>IF(N$3&lt;&gt;"",Pressupostos!P250-Pressupostos!P256,"")</f>
        <v/>
      </c>
      <c r="O9" s="72" t="str">
        <f>IF(O$3&lt;&gt;"",Pressupostos!Q250-Pressupostos!Q256,"")</f>
        <v/>
      </c>
      <c r="P9" s="72" t="str">
        <f>IF(P$3&lt;&gt;"",Pressupostos!R250-Pressupostos!R256,"")</f>
        <v/>
      </c>
      <c r="Q9" s="72" t="str">
        <f>IF(Q$3&lt;&gt;"",Pressupostos!S250-Pressupostos!S256,"")</f>
        <v/>
      </c>
      <c r="R9" s="72" t="str">
        <f>IF(R$3&lt;&gt;"",Pressupostos!T250-Pressupostos!T256,"")</f>
        <v/>
      </c>
    </row>
    <row r="10" spans="2:18" s="17" customFormat="1" ht="13.2" hidden="1">
      <c r="B10" s="71" t="s">
        <v>187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</row>
    <row r="11" spans="2:18" s="17" customFormat="1" ht="13.2" hidden="1">
      <c r="B11" s="71" t="s">
        <v>188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</row>
    <row r="12" spans="2:18" s="17" customFormat="1" ht="13.2" hidden="1">
      <c r="B12" s="71" t="s">
        <v>189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</row>
    <row r="13" spans="2:18" s="17" customFormat="1" ht="13.2" hidden="1">
      <c r="B13" s="71" t="s">
        <v>190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</row>
    <row r="14" spans="2:18" s="17" customFormat="1" ht="13.2" hidden="1">
      <c r="B14" s="71" t="s">
        <v>191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</row>
    <row r="15" spans="2:18" s="17" customFormat="1" ht="13.2" hidden="1">
      <c r="B15" s="71" t="s">
        <v>192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</row>
    <row r="16" spans="2:18" ht="13.2" hidden="1">
      <c r="B16" s="71" t="s">
        <v>193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</row>
    <row r="17" spans="2:18" ht="13.2">
      <c r="B17" s="37" t="s">
        <v>194</v>
      </c>
      <c r="C17" s="75">
        <f t="shared" ref="C17:R17" si="0">IF(C$3&lt;&gt;"",SUM(C7:C16),"")</f>
        <v>424000</v>
      </c>
      <c r="D17" s="75">
        <f t="shared" si="0"/>
        <v>500300</v>
      </c>
      <c r="E17" s="75">
        <f t="shared" si="0"/>
        <v>484100</v>
      </c>
      <c r="F17" s="75" t="str">
        <f t="shared" si="0"/>
        <v/>
      </c>
      <c r="G17" s="75" t="str">
        <f t="shared" si="0"/>
        <v/>
      </c>
      <c r="H17" s="75" t="str">
        <f t="shared" si="0"/>
        <v/>
      </c>
      <c r="I17" s="75" t="str">
        <f t="shared" si="0"/>
        <v/>
      </c>
      <c r="J17" s="75" t="str">
        <f t="shared" si="0"/>
        <v/>
      </c>
      <c r="K17" s="75" t="str">
        <f t="shared" si="0"/>
        <v/>
      </c>
      <c r="L17" s="75" t="str">
        <f t="shared" si="0"/>
        <v/>
      </c>
      <c r="M17" s="75" t="str">
        <f t="shared" si="0"/>
        <v/>
      </c>
      <c r="N17" s="75" t="str">
        <f t="shared" si="0"/>
        <v/>
      </c>
      <c r="O17" s="75" t="str">
        <f t="shared" si="0"/>
        <v/>
      </c>
      <c r="P17" s="75" t="str">
        <f t="shared" si="0"/>
        <v/>
      </c>
      <c r="Q17" s="75" t="str">
        <f t="shared" si="0"/>
        <v/>
      </c>
      <c r="R17" s="75" t="str">
        <f t="shared" si="0"/>
        <v/>
      </c>
    </row>
    <row r="18" spans="2:18" ht="13.2">
      <c r="B18" s="1"/>
      <c r="C18" s="1"/>
      <c r="D18" s="1"/>
      <c r="E18" s="1"/>
      <c r="F18" s="1"/>
      <c r="G18" s="1"/>
      <c r="H18" s="1"/>
      <c r="I18" s="1"/>
      <c r="J18" s="1"/>
      <c r="K18" s="1"/>
      <c r="L18" s="14"/>
    </row>
    <row r="19" spans="2:18" ht="13.2">
      <c r="B19" s="37" t="s">
        <v>195</v>
      </c>
      <c r="C19" s="37"/>
      <c r="D19" s="37"/>
      <c r="E19" s="37"/>
      <c r="F19" s="37"/>
      <c r="G19" s="37"/>
      <c r="H19" s="37"/>
      <c r="I19" s="37"/>
      <c r="J19" s="37"/>
      <c r="K19" s="37"/>
      <c r="L19" s="30"/>
    </row>
    <row r="20" spans="2:18" ht="13.2">
      <c r="B20" s="71" t="s">
        <v>196</v>
      </c>
      <c r="C20" s="72">
        <f>IF(C$3&lt;&gt;"",NFM!C24,"")</f>
        <v>0</v>
      </c>
      <c r="D20" s="72">
        <f>IF(D$3&lt;&gt;"",NFM!D24,"")</f>
        <v>17916.666666666668</v>
      </c>
      <c r="E20" s="72">
        <f>IF(E$3&lt;&gt;"",NFM!E24,"")</f>
        <v>26875</v>
      </c>
      <c r="F20" s="72" t="str">
        <f>IF(F$3&lt;&gt;"",NFM!F24,"")</f>
        <v/>
      </c>
      <c r="G20" s="72" t="str">
        <f>IF(G$3&lt;&gt;"",NFM!G24,"")</f>
        <v/>
      </c>
      <c r="H20" s="72" t="str">
        <f>IF(H$3&lt;&gt;"",NFM!H24,"")</f>
        <v/>
      </c>
      <c r="I20" s="72" t="str">
        <f>IF(I$3&lt;&gt;"",NFM!I24,"")</f>
        <v/>
      </c>
      <c r="J20" s="72" t="str">
        <f>IF(J$3&lt;&gt;"",NFM!J24,"")</f>
        <v/>
      </c>
      <c r="K20" s="72" t="str">
        <f>IF(K$3&lt;&gt;"",NFM!K24,"")</f>
        <v/>
      </c>
      <c r="L20" s="72" t="str">
        <f>IF(L$3&lt;&gt;"",NFM!L24,"")</f>
        <v/>
      </c>
      <c r="M20" s="72" t="str">
        <f>IF(M$3&lt;&gt;"",NFM!M24,"")</f>
        <v/>
      </c>
      <c r="N20" s="72" t="str">
        <f>IF(N$3&lt;&gt;"",NFM!N24,"")</f>
        <v/>
      </c>
      <c r="O20" s="72" t="str">
        <f>IF(O$3&lt;&gt;"",NFM!O24,"")</f>
        <v/>
      </c>
      <c r="P20" s="72" t="str">
        <f>IF(P$3&lt;&gt;"",NFM!P24,"")</f>
        <v/>
      </c>
      <c r="Q20" s="72" t="str">
        <f>IF(Q$3&lt;&gt;"",NFM!Q24,"")</f>
        <v/>
      </c>
      <c r="R20" s="72" t="str">
        <f>IF(R$3&lt;&gt;"",NFM!R24,"")</f>
        <v/>
      </c>
    </row>
    <row r="21" spans="2:18" ht="13.2" hidden="1">
      <c r="B21" s="71" t="s">
        <v>187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</row>
    <row r="22" spans="2:18" ht="13.2">
      <c r="B22" s="71" t="s">
        <v>197</v>
      </c>
      <c r="C22" s="72">
        <f>IF(C$3&lt;&gt;"",NFM!C25,"")</f>
        <v>0</v>
      </c>
      <c r="D22" s="72">
        <f>IF(D$3&lt;&gt;"",NFM!D25,"")</f>
        <v>53783.716666666667</v>
      </c>
      <c r="E22" s="72">
        <f>IF(E$3&lt;&gt;"",NFM!E25,"")</f>
        <v>80496.293333333335</v>
      </c>
      <c r="F22" s="72" t="str">
        <f>IF(F$3&lt;&gt;"",NFM!F25,"")</f>
        <v/>
      </c>
      <c r="G22" s="72" t="str">
        <f>IF(G$3&lt;&gt;"",NFM!G25,"")</f>
        <v/>
      </c>
      <c r="H22" s="72" t="str">
        <f>IF(H$3&lt;&gt;"",NFM!H25,"")</f>
        <v/>
      </c>
      <c r="I22" s="72" t="str">
        <f>IF(I$3&lt;&gt;"",NFM!I25,"")</f>
        <v/>
      </c>
      <c r="J22" s="72" t="str">
        <f>IF(J$3&lt;&gt;"",NFM!J25,"")</f>
        <v/>
      </c>
      <c r="K22" s="72" t="str">
        <f>IF(K$3&lt;&gt;"",NFM!K25,"")</f>
        <v/>
      </c>
      <c r="L22" s="72" t="str">
        <f>IF(L$3&lt;&gt;"",NFM!L25,"")</f>
        <v/>
      </c>
      <c r="M22" s="72" t="str">
        <f>IF(M$3&lt;&gt;"",NFM!M25,"")</f>
        <v/>
      </c>
      <c r="N22" s="72" t="str">
        <f>IF(N$3&lt;&gt;"",NFM!N25,"")</f>
        <v/>
      </c>
      <c r="O22" s="72" t="str">
        <f>IF(O$3&lt;&gt;"",NFM!O25,"")</f>
        <v/>
      </c>
      <c r="P22" s="72" t="str">
        <f>IF(P$3&lt;&gt;"",NFM!P25,"")</f>
        <v/>
      </c>
      <c r="Q22" s="72" t="str">
        <f>IF(Q$3&lt;&gt;"",NFM!Q25,"")</f>
        <v/>
      </c>
      <c r="R22" s="72" t="str">
        <f>IF(R$3&lt;&gt;"",NFM!R25,"")</f>
        <v/>
      </c>
    </row>
    <row r="23" spans="2:18" ht="13.2">
      <c r="B23" s="71" t="s">
        <v>198</v>
      </c>
      <c r="C23" s="72">
        <f>IF(C$3&lt;&gt;"",NFM!C26,"")</f>
        <v>0</v>
      </c>
      <c r="D23" s="72">
        <f>IF(D$3&lt;&gt;"",NFM!D26,"")</f>
        <v>12168.654933333342</v>
      </c>
      <c r="E23" s="72">
        <f>IF(E$3&lt;&gt;"",NFM!E26,"")</f>
        <v>16294.780698666676</v>
      </c>
      <c r="F23" s="72" t="str">
        <f>IF(F$3&lt;&gt;"",NFM!F26,"")</f>
        <v/>
      </c>
      <c r="G23" s="72" t="str">
        <f>IF(G$3&lt;&gt;"",NFM!G26,"")</f>
        <v/>
      </c>
      <c r="H23" s="72" t="str">
        <f>IF(H$3&lt;&gt;"",NFM!H26,"")</f>
        <v/>
      </c>
      <c r="I23" s="72" t="str">
        <f>IF(I$3&lt;&gt;"",NFM!I26,"")</f>
        <v/>
      </c>
      <c r="J23" s="72" t="str">
        <f>IF(J$3&lt;&gt;"",NFM!J26,"")</f>
        <v/>
      </c>
      <c r="K23" s="72" t="str">
        <f>IF(K$3&lt;&gt;"",NFM!K26,"")</f>
        <v/>
      </c>
      <c r="L23" s="72" t="str">
        <f>IF(L$3&lt;&gt;"",NFM!L26,"")</f>
        <v/>
      </c>
      <c r="M23" s="72" t="str">
        <f>IF(M$3&lt;&gt;"",NFM!M26,"")</f>
        <v/>
      </c>
      <c r="N23" s="72" t="str">
        <f>IF(N$3&lt;&gt;"",NFM!N26,"")</f>
        <v/>
      </c>
      <c r="O23" s="72" t="str">
        <f>IF(O$3&lt;&gt;"",NFM!O26,"")</f>
        <v/>
      </c>
      <c r="P23" s="72" t="str">
        <f>IF(P$3&lt;&gt;"",NFM!P26,"")</f>
        <v/>
      </c>
      <c r="Q23" s="72" t="str">
        <f>IF(Q$3&lt;&gt;"",NFM!Q26,"")</f>
        <v/>
      </c>
      <c r="R23" s="72" t="str">
        <f>IF(R$3&lt;&gt;"",NFM!R26,"")</f>
        <v/>
      </c>
    </row>
    <row r="24" spans="2:18" ht="13.2" hidden="1">
      <c r="B24" s="71" t="s">
        <v>199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</row>
    <row r="25" spans="2:18" ht="13.2" hidden="1">
      <c r="B25" s="71" t="s">
        <v>200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</row>
    <row r="26" spans="2:18" ht="13.2" hidden="1">
      <c r="B26" s="71" t="s">
        <v>201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</row>
    <row r="27" spans="2:18" ht="13.2" hidden="1">
      <c r="B27" s="71" t="s">
        <v>202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</row>
    <row r="28" spans="2:18" ht="13.2" hidden="1">
      <c r="B28" s="71" t="s">
        <v>191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</row>
    <row r="29" spans="2:18" ht="13.2" hidden="1">
      <c r="B29" s="71" t="s">
        <v>203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</row>
    <row r="30" spans="2:18" ht="13.2">
      <c r="B30" s="71" t="s">
        <v>204</v>
      </c>
      <c r="C30" s="73">
        <f>IF(C$3&lt;&gt;"",FCF!C18,"")</f>
        <v>10000</v>
      </c>
      <c r="D30" s="73">
        <f>IF(D$3&lt;&gt;"",FCF!D18,"")</f>
        <v>10000</v>
      </c>
      <c r="E30" s="73">
        <f>IF(E$3&lt;&gt;"",FCF!E18,"")</f>
        <v>17873.781843562538</v>
      </c>
      <c r="F30" s="73" t="str">
        <f>IF(F$3&lt;&gt;"",FCF!F18,"")</f>
        <v/>
      </c>
      <c r="G30" s="73" t="str">
        <f>IF(G$3&lt;&gt;"",FCF!G18,"")</f>
        <v/>
      </c>
      <c r="H30" s="73" t="str">
        <f>IF(H$3&lt;&gt;"",FCF!H18,"")</f>
        <v/>
      </c>
      <c r="I30" s="73" t="str">
        <f>IF(I$3&lt;&gt;"",FCF!I18,"")</f>
        <v/>
      </c>
      <c r="J30" s="73" t="str">
        <f>IF(J$3&lt;&gt;"",FCF!J18,"")</f>
        <v/>
      </c>
      <c r="K30" s="73" t="str">
        <f>IF(K$3&lt;&gt;"",FCF!K18,"")</f>
        <v/>
      </c>
      <c r="L30" s="73" t="str">
        <f>IF(L$3&lt;&gt;"",FCF!L18,"")</f>
        <v/>
      </c>
      <c r="M30" s="73" t="str">
        <f>IF(M$3&lt;&gt;"",FCF!M18,"")</f>
        <v/>
      </c>
      <c r="N30" s="73" t="str">
        <f>IF(N$3&lt;&gt;"",FCF!N18,"")</f>
        <v/>
      </c>
      <c r="O30" s="73" t="str">
        <f>IF(O$3&lt;&gt;"",FCF!O18,"")</f>
        <v/>
      </c>
      <c r="P30" s="73" t="str">
        <f>IF(P$3&lt;&gt;"",FCF!P18,"")</f>
        <v/>
      </c>
      <c r="Q30" s="73" t="str">
        <f>IF(Q$3&lt;&gt;"",FCF!Q18,"")</f>
        <v/>
      </c>
      <c r="R30" s="73" t="str">
        <f>IF(R$3&lt;&gt;"",FCF!R18,"")</f>
        <v/>
      </c>
    </row>
    <row r="31" spans="2:18" ht="13.2">
      <c r="B31" s="37" t="s">
        <v>205</v>
      </c>
      <c r="C31" s="76">
        <f>IF(C$3&lt;&gt;"",SUM(C20:C30),"")</f>
        <v>10000</v>
      </c>
      <c r="D31" s="76">
        <f t="shared" ref="D31:R31" si="1">IF(D$3&lt;&gt;"",SUM(D20:D30),"")</f>
        <v>93869.03826666667</v>
      </c>
      <c r="E31" s="76">
        <f t="shared" si="1"/>
        <v>141539.85587556253</v>
      </c>
      <c r="F31" s="76" t="str">
        <f t="shared" si="1"/>
        <v/>
      </c>
      <c r="G31" s="76" t="str">
        <f t="shared" si="1"/>
        <v/>
      </c>
      <c r="H31" s="76" t="str">
        <f t="shared" si="1"/>
        <v/>
      </c>
      <c r="I31" s="76" t="str">
        <f t="shared" si="1"/>
        <v/>
      </c>
      <c r="J31" s="76" t="str">
        <f t="shared" si="1"/>
        <v/>
      </c>
      <c r="K31" s="76" t="str">
        <f t="shared" si="1"/>
        <v/>
      </c>
      <c r="L31" s="76" t="str">
        <f t="shared" si="1"/>
        <v/>
      </c>
      <c r="M31" s="76" t="str">
        <f t="shared" si="1"/>
        <v/>
      </c>
      <c r="N31" s="76" t="str">
        <f t="shared" si="1"/>
        <v/>
      </c>
      <c r="O31" s="76" t="str">
        <f t="shared" si="1"/>
        <v/>
      </c>
      <c r="P31" s="76" t="str">
        <f t="shared" si="1"/>
        <v/>
      </c>
      <c r="Q31" s="76" t="str">
        <f t="shared" si="1"/>
        <v/>
      </c>
      <c r="R31" s="76" t="str">
        <f t="shared" si="1"/>
        <v/>
      </c>
    </row>
    <row r="32" spans="2:18" ht="13.2">
      <c r="B32" s="1"/>
      <c r="C32" s="77"/>
      <c r="D32" s="77"/>
      <c r="E32" s="77"/>
      <c r="F32" s="77"/>
      <c r="G32" s="77"/>
      <c r="H32" s="77"/>
      <c r="I32" s="77"/>
      <c r="J32" s="77"/>
      <c r="K32" s="77"/>
      <c r="L32" s="78"/>
      <c r="M32" s="78"/>
      <c r="N32" s="78"/>
      <c r="O32" s="78"/>
      <c r="P32" s="78"/>
      <c r="Q32" s="78"/>
      <c r="R32" s="78"/>
    </row>
    <row r="33" spans="2:18" ht="13.2">
      <c r="B33" s="37" t="s">
        <v>206</v>
      </c>
      <c r="C33" s="76">
        <f>IF(C$3&lt;&gt;"",C17+C31,"")</f>
        <v>434000</v>
      </c>
      <c r="D33" s="76">
        <f t="shared" ref="D33:R33" si="2">IF(D$3&lt;&gt;"",D17+D31,"")</f>
        <v>594169.0382666667</v>
      </c>
      <c r="E33" s="76">
        <f t="shared" si="2"/>
        <v>625639.85587556253</v>
      </c>
      <c r="F33" s="76" t="str">
        <f t="shared" si="2"/>
        <v/>
      </c>
      <c r="G33" s="76" t="str">
        <f t="shared" si="2"/>
        <v/>
      </c>
      <c r="H33" s="76" t="str">
        <f t="shared" si="2"/>
        <v/>
      </c>
      <c r="I33" s="76" t="str">
        <f t="shared" si="2"/>
        <v/>
      </c>
      <c r="J33" s="76" t="str">
        <f t="shared" si="2"/>
        <v/>
      </c>
      <c r="K33" s="76" t="str">
        <f t="shared" si="2"/>
        <v/>
      </c>
      <c r="L33" s="76" t="str">
        <f t="shared" si="2"/>
        <v/>
      </c>
      <c r="M33" s="76" t="str">
        <f t="shared" si="2"/>
        <v/>
      </c>
      <c r="N33" s="76" t="str">
        <f t="shared" si="2"/>
        <v/>
      </c>
      <c r="O33" s="76" t="str">
        <f t="shared" si="2"/>
        <v/>
      </c>
      <c r="P33" s="76" t="str">
        <f t="shared" si="2"/>
        <v/>
      </c>
      <c r="Q33" s="76" t="str">
        <f t="shared" si="2"/>
        <v/>
      </c>
      <c r="R33" s="76" t="str">
        <f t="shared" si="2"/>
        <v/>
      </c>
    </row>
    <row r="34" spans="2:18" ht="13.2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8" ht="13.2">
      <c r="B35" s="70" t="s">
        <v>207</v>
      </c>
      <c r="C35" s="70"/>
      <c r="D35" s="70"/>
      <c r="E35" s="70"/>
      <c r="F35" s="70"/>
      <c r="G35" s="70"/>
      <c r="H35" s="70"/>
      <c r="I35" s="70"/>
      <c r="J35" s="70"/>
      <c r="K35" s="70"/>
    </row>
    <row r="36" spans="2:18" ht="13.2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2:18" ht="13.2">
      <c r="B37" s="37" t="s">
        <v>208</v>
      </c>
      <c r="C37" s="37"/>
      <c r="D37" s="37"/>
      <c r="E37" s="37"/>
      <c r="F37" s="37"/>
      <c r="G37" s="37"/>
      <c r="H37" s="37"/>
      <c r="I37" s="37"/>
      <c r="J37" s="37"/>
      <c r="K37" s="37"/>
    </row>
    <row r="38" spans="2:18" ht="13.2">
      <c r="B38" s="71" t="s">
        <v>209</v>
      </c>
      <c r="C38" s="72">
        <f>IF(C$3&lt;&gt;"",Pressupostos!$F$262,"")</f>
        <v>260400</v>
      </c>
      <c r="D38" s="72">
        <f>IF(D$3&lt;&gt;"",Pressupostos!$F$262,"")</f>
        <v>260400</v>
      </c>
      <c r="E38" s="72">
        <f>IF(E$3&lt;&gt;"",Pressupostos!$F$262,"")</f>
        <v>260400</v>
      </c>
      <c r="F38" s="72" t="str">
        <f>IF(F$3&lt;&gt;"",Pressupostos!$F$262,"")</f>
        <v/>
      </c>
      <c r="G38" s="72" t="str">
        <f>IF(G$3&lt;&gt;"",Pressupostos!$F$262,"")</f>
        <v/>
      </c>
      <c r="H38" s="72" t="str">
        <f>IF(H$3&lt;&gt;"",Pressupostos!$F$262,"")</f>
        <v/>
      </c>
      <c r="I38" s="72" t="str">
        <f>IF(I$3&lt;&gt;"",Pressupostos!$F$262,"")</f>
        <v/>
      </c>
      <c r="J38" s="72" t="str">
        <f>IF(J$3&lt;&gt;"",Pressupostos!$F$262,"")</f>
        <v/>
      </c>
      <c r="K38" s="72" t="str">
        <f>IF(K$3&lt;&gt;"",Pressupostos!$F$262,"")</f>
        <v/>
      </c>
      <c r="L38" s="72" t="str">
        <f>IF(L$3&lt;&gt;"",Pressupostos!$F$262,"")</f>
        <v/>
      </c>
      <c r="M38" s="72" t="str">
        <f>IF(M$3&lt;&gt;"",Pressupostos!$F$262,"")</f>
        <v/>
      </c>
      <c r="N38" s="72" t="str">
        <f>IF(N$3&lt;&gt;"",Pressupostos!$F$262,"")</f>
        <v/>
      </c>
      <c r="O38" s="72" t="str">
        <f>IF(O$3&lt;&gt;"",Pressupostos!$F$262,"")</f>
        <v/>
      </c>
      <c r="P38" s="72" t="str">
        <f>IF(P$3&lt;&gt;"",Pressupostos!$F$262,"")</f>
        <v/>
      </c>
      <c r="Q38" s="72" t="str">
        <f>IF(Q$3&lt;&gt;"",Pressupostos!$F$262,"")</f>
        <v/>
      </c>
      <c r="R38" s="72" t="str">
        <f>IF(R$3&lt;&gt;"",Pressupostos!$F$262,"")</f>
        <v/>
      </c>
    </row>
    <row r="39" spans="2:18" ht="13.2" hidden="1">
      <c r="B39" s="71" t="s">
        <v>210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</row>
    <row r="40" spans="2:18" ht="13.2">
      <c r="B40" s="71" t="s">
        <v>211</v>
      </c>
      <c r="C40" s="72">
        <f>IF(C$3&lt;&gt;"",FCF!C17,"")</f>
        <v>0</v>
      </c>
      <c r="D40" s="72">
        <f>IF(D$3&lt;&gt;"",+C40+FCF!D17,"")</f>
        <v>158754.10179977556</v>
      </c>
      <c r="E40" s="72">
        <f>IF(E$3&lt;&gt;"",+D40+FCF!E17,"")</f>
        <v>158754.10179977556</v>
      </c>
      <c r="F40" s="72" t="str">
        <f>IF(F$3&lt;&gt;"",+E40+FCF!F17,"")</f>
        <v/>
      </c>
      <c r="G40" s="72" t="str">
        <f>IF(G$3&lt;&gt;"",+F40+FCF!G17,"")</f>
        <v/>
      </c>
      <c r="H40" s="72" t="str">
        <f>IF(H$3&lt;&gt;"",+G40+FCF!H17,"")</f>
        <v/>
      </c>
      <c r="I40" s="72" t="str">
        <f>IF(I$3&lt;&gt;"",+H40+FCF!I17,"")</f>
        <v/>
      </c>
      <c r="J40" s="72" t="str">
        <f>IF(J$3&lt;&gt;"",+I40+FCF!J17,"")</f>
        <v/>
      </c>
      <c r="K40" s="72" t="str">
        <f>IF(K$3&lt;&gt;"",+J40+FCF!K17,"")</f>
        <v/>
      </c>
      <c r="L40" s="72" t="str">
        <f>IF(L$3&lt;&gt;"",+K40+FCF!L17,"")</f>
        <v/>
      </c>
      <c r="M40" s="72" t="str">
        <f>IF(M$3&lt;&gt;"",+L40+FCF!M17,"")</f>
        <v/>
      </c>
      <c r="N40" s="72" t="str">
        <f>IF(N$3&lt;&gt;"",+M40+FCF!N17,"")</f>
        <v/>
      </c>
      <c r="O40" s="72" t="str">
        <f>IF(O$3&lt;&gt;"",+N40+FCF!O17,"")</f>
        <v/>
      </c>
      <c r="P40" s="72" t="str">
        <f>IF(P$3&lt;&gt;"",+O40+FCF!P17,"")</f>
        <v/>
      </c>
      <c r="Q40" s="72" t="str">
        <f>IF(Q$3&lt;&gt;"",+P40+FCF!Q17,"")</f>
        <v/>
      </c>
      <c r="R40" s="72" t="str">
        <f>IF(R$3&lt;&gt;"",+Q40+FCF!R17,"")</f>
        <v/>
      </c>
    </row>
    <row r="41" spans="2:18" ht="13.2" hidden="1">
      <c r="B41" s="71" t="s">
        <v>212</v>
      </c>
      <c r="C41" s="72"/>
      <c r="D41" s="72"/>
      <c r="E41" s="72"/>
      <c r="F41" s="72"/>
      <c r="G41" s="72"/>
      <c r="H41" s="72"/>
      <c r="I41" s="72"/>
      <c r="J41" s="72"/>
      <c r="K41" s="72"/>
    </row>
    <row r="42" spans="2:18" ht="13.2">
      <c r="B42" s="71" t="s">
        <v>213</v>
      </c>
      <c r="C42" s="73"/>
      <c r="D42" s="73">
        <f>IF(D$3&lt;&gt;"",C42+C45,"")</f>
        <v>0</v>
      </c>
      <c r="E42" s="73">
        <f t="shared" ref="E42:R42" si="3">IF(E$3&lt;&gt;"",D42+D45,"")</f>
        <v>53131.288674463518</v>
      </c>
      <c r="F42" s="73" t="str">
        <f t="shared" si="3"/>
        <v/>
      </c>
      <c r="G42" s="73" t="str">
        <f t="shared" si="3"/>
        <v/>
      </c>
      <c r="H42" s="73" t="str">
        <f t="shared" si="3"/>
        <v/>
      </c>
      <c r="I42" s="73" t="str">
        <f t="shared" si="3"/>
        <v/>
      </c>
      <c r="J42" s="73" t="str">
        <f t="shared" si="3"/>
        <v/>
      </c>
      <c r="K42" s="73" t="str">
        <f t="shared" si="3"/>
        <v/>
      </c>
      <c r="L42" s="73" t="str">
        <f t="shared" si="3"/>
        <v/>
      </c>
      <c r="M42" s="73" t="str">
        <f t="shared" si="3"/>
        <v/>
      </c>
      <c r="N42" s="73" t="str">
        <f t="shared" si="3"/>
        <v/>
      </c>
      <c r="O42" s="73" t="str">
        <f t="shared" si="3"/>
        <v/>
      </c>
      <c r="P42" s="73" t="str">
        <f t="shared" si="3"/>
        <v/>
      </c>
      <c r="Q42" s="73" t="str">
        <f t="shared" si="3"/>
        <v/>
      </c>
      <c r="R42" s="73" t="str">
        <f t="shared" si="3"/>
        <v/>
      </c>
    </row>
    <row r="43" spans="2:18" ht="13.2">
      <c r="B43" s="71" t="s">
        <v>214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</row>
    <row r="44" spans="2:18" ht="13.2">
      <c r="B44" s="37" t="s">
        <v>215</v>
      </c>
      <c r="C44" s="76">
        <f>IF(C$3&lt;&gt;"",SUM(C38:C43),"")</f>
        <v>260400</v>
      </c>
      <c r="D44" s="76">
        <f t="shared" ref="D44:R44" si="4">IF(D$3&lt;&gt;"",SUM(D38:D43),"")</f>
        <v>419154.10179977556</v>
      </c>
      <c r="E44" s="76">
        <f t="shared" si="4"/>
        <v>472285.39047423907</v>
      </c>
      <c r="F44" s="76" t="str">
        <f t="shared" si="4"/>
        <v/>
      </c>
      <c r="G44" s="76" t="str">
        <f t="shared" si="4"/>
        <v/>
      </c>
      <c r="H44" s="76" t="str">
        <f t="shared" si="4"/>
        <v/>
      </c>
      <c r="I44" s="76" t="str">
        <f t="shared" si="4"/>
        <v/>
      </c>
      <c r="J44" s="76" t="str">
        <f t="shared" si="4"/>
        <v/>
      </c>
      <c r="K44" s="76" t="str">
        <f t="shared" si="4"/>
        <v/>
      </c>
      <c r="L44" s="76" t="str">
        <f t="shared" si="4"/>
        <v/>
      </c>
      <c r="M44" s="76" t="str">
        <f t="shared" si="4"/>
        <v/>
      </c>
      <c r="N44" s="76" t="str">
        <f t="shared" si="4"/>
        <v/>
      </c>
      <c r="O44" s="76" t="str">
        <f t="shared" si="4"/>
        <v/>
      </c>
      <c r="P44" s="76" t="str">
        <f t="shared" si="4"/>
        <v/>
      </c>
      <c r="Q44" s="76" t="str">
        <f t="shared" si="4"/>
        <v/>
      </c>
      <c r="R44" s="76" t="str">
        <f t="shared" si="4"/>
        <v/>
      </c>
    </row>
    <row r="45" spans="2:18" ht="13.2">
      <c r="B45" s="71" t="s">
        <v>25</v>
      </c>
      <c r="C45" s="73"/>
      <c r="D45" s="73">
        <f>IF(D$3&lt;&gt;"",DR!C16,"")</f>
        <v>53131.288674463518</v>
      </c>
      <c r="E45" s="73">
        <f>IF(E$3&lt;&gt;"",DR!D16,"")</f>
        <v>107562.90469599013</v>
      </c>
      <c r="F45" s="73" t="str">
        <f>IF(F$3&lt;&gt;"",DR!E16,"")</f>
        <v/>
      </c>
      <c r="G45" s="73" t="str">
        <f>IF(G$3&lt;&gt;"",DR!F16,"")</f>
        <v/>
      </c>
      <c r="H45" s="73" t="str">
        <f>IF(H$3&lt;&gt;"",DR!G16,"")</f>
        <v/>
      </c>
      <c r="I45" s="73" t="str">
        <f>IF(I$3&lt;&gt;"",DR!H16,"")</f>
        <v/>
      </c>
      <c r="J45" s="73" t="str">
        <f>IF(J$3&lt;&gt;"",DR!I16,"")</f>
        <v/>
      </c>
      <c r="K45" s="73" t="str">
        <f>IF(K$3&lt;&gt;"",DR!J16,"")</f>
        <v/>
      </c>
      <c r="L45" s="73" t="str">
        <f>IF(L$3&lt;&gt;"",DR!K16,"")</f>
        <v/>
      </c>
      <c r="M45" s="73" t="str">
        <f>IF(M$3&lt;&gt;"",DR!L16,"")</f>
        <v/>
      </c>
      <c r="N45" s="73" t="str">
        <f>IF(N$3&lt;&gt;"",DR!M16,"")</f>
        <v/>
      </c>
      <c r="O45" s="73" t="str">
        <f>IF(O$3&lt;&gt;"",DR!N16,"")</f>
        <v/>
      </c>
      <c r="P45" s="73" t="str">
        <f>IF(P$3&lt;&gt;"",DR!O16,"")</f>
        <v/>
      </c>
      <c r="Q45" s="73" t="str">
        <f>IF(Q$3&lt;&gt;"",DR!P16,"")</f>
        <v/>
      </c>
      <c r="R45" s="73" t="str">
        <f>IF(R$3&lt;&gt;"",DR!Q16,"")</f>
        <v/>
      </c>
    </row>
    <row r="46" spans="2:18" ht="13.2" hidden="1">
      <c r="B46" s="71" t="s">
        <v>216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</row>
    <row r="47" spans="2:18" ht="13.2">
      <c r="B47" s="37" t="s">
        <v>217</v>
      </c>
      <c r="C47" s="76">
        <f>IF(C$3&lt;&gt;"",SUM(C44:C46),"")</f>
        <v>260400</v>
      </c>
      <c r="D47" s="76">
        <f t="shared" ref="D47:R47" si="5">IF(D$3&lt;&gt;"",SUM(D44:D46),"")</f>
        <v>472285.39047423907</v>
      </c>
      <c r="E47" s="76">
        <f t="shared" si="5"/>
        <v>579848.29517022916</v>
      </c>
      <c r="F47" s="76" t="str">
        <f t="shared" si="5"/>
        <v/>
      </c>
      <c r="G47" s="76" t="str">
        <f t="shared" si="5"/>
        <v/>
      </c>
      <c r="H47" s="76" t="str">
        <f t="shared" si="5"/>
        <v/>
      </c>
      <c r="I47" s="76" t="str">
        <f t="shared" si="5"/>
        <v/>
      </c>
      <c r="J47" s="76" t="str">
        <f t="shared" si="5"/>
        <v/>
      </c>
      <c r="K47" s="76" t="str">
        <f t="shared" si="5"/>
        <v/>
      </c>
      <c r="L47" s="76" t="str">
        <f t="shared" si="5"/>
        <v/>
      </c>
      <c r="M47" s="76" t="str">
        <f t="shared" si="5"/>
        <v/>
      </c>
      <c r="N47" s="76" t="str">
        <f t="shared" si="5"/>
        <v/>
      </c>
      <c r="O47" s="76" t="str">
        <f t="shared" si="5"/>
        <v/>
      </c>
      <c r="P47" s="76" t="str">
        <f t="shared" si="5"/>
        <v/>
      </c>
      <c r="Q47" s="76" t="str">
        <f t="shared" si="5"/>
        <v/>
      </c>
      <c r="R47" s="76" t="str">
        <f t="shared" si="5"/>
        <v/>
      </c>
    </row>
    <row r="48" spans="2:18" ht="13.2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8" ht="13.2">
      <c r="B49" s="37" t="s">
        <v>218</v>
      </c>
      <c r="C49" s="37"/>
      <c r="D49" s="37"/>
      <c r="E49" s="37"/>
      <c r="F49" s="37"/>
      <c r="G49" s="37"/>
      <c r="H49" s="37"/>
      <c r="I49" s="37"/>
      <c r="J49" s="37"/>
      <c r="K49" s="37"/>
    </row>
    <row r="50" spans="2:18" ht="13.2">
      <c r="B50" s="37" t="s">
        <v>219</v>
      </c>
      <c r="C50" s="37"/>
      <c r="D50" s="37"/>
      <c r="E50" s="37"/>
      <c r="F50" s="37"/>
      <c r="G50" s="37"/>
      <c r="H50" s="37"/>
      <c r="I50" s="37"/>
      <c r="J50" s="37"/>
      <c r="K50" s="37"/>
    </row>
    <row r="51" spans="2:18" ht="13.2">
      <c r="B51" s="71" t="s">
        <v>220</v>
      </c>
      <c r="C51" s="72"/>
      <c r="D51" s="72"/>
      <c r="E51" s="72"/>
      <c r="F51" s="72"/>
      <c r="G51" s="72"/>
      <c r="H51" s="72"/>
      <c r="I51" s="72"/>
      <c r="J51" s="72"/>
      <c r="K51" s="72"/>
    </row>
    <row r="52" spans="2:18" ht="13.2">
      <c r="B52" s="71" t="s">
        <v>221</v>
      </c>
      <c r="C52" s="73">
        <f>IF(C$3&lt;&gt;"",Empréstimo!E198,"")</f>
        <v>88965.042525760917</v>
      </c>
      <c r="D52" s="73">
        <f>IF(D$3&lt;&gt;"",Empréstimo!F198,"")</f>
        <v>-2.9103830456733704E-11</v>
      </c>
      <c r="E52" s="73" t="str">
        <f>IF(E$3&lt;&gt;"",Empréstimo!G198,"")</f>
        <v/>
      </c>
      <c r="F52" s="73" t="str">
        <f>IF(F$3&lt;&gt;"",Empréstimo!H198,"")</f>
        <v/>
      </c>
      <c r="G52" s="73" t="str">
        <f>IF(G$3&lt;&gt;"",Empréstimo!I198,"")</f>
        <v/>
      </c>
      <c r="H52" s="73" t="str">
        <f>IF(H$3&lt;&gt;"",Empréstimo!J198,"")</f>
        <v/>
      </c>
      <c r="I52" s="73" t="str">
        <f>IF(I$3&lt;&gt;"",Empréstimo!K198,"")</f>
        <v/>
      </c>
      <c r="J52" s="73" t="str">
        <f>IF(J$3&lt;&gt;"",Empréstimo!L198,"")</f>
        <v/>
      </c>
      <c r="K52" s="73" t="str">
        <f>IF(K$3&lt;&gt;"",Empréstimo!M198,"")</f>
        <v/>
      </c>
      <c r="L52" s="73" t="str">
        <f>IF(L$3&lt;&gt;"",Empréstimo!N198,"")</f>
        <v/>
      </c>
      <c r="M52" s="73" t="str">
        <f>IF(M$3&lt;&gt;"",Empréstimo!O198,"")</f>
        <v/>
      </c>
      <c r="N52" s="73" t="str">
        <f>IF(N$3&lt;&gt;"",Empréstimo!P198,"")</f>
        <v/>
      </c>
      <c r="O52" s="73" t="str">
        <f>IF(O$3&lt;&gt;"",Empréstimo!Q198,"")</f>
        <v/>
      </c>
      <c r="P52" s="73" t="str">
        <f>IF(P$3&lt;&gt;"",Empréstimo!R198,"")</f>
        <v/>
      </c>
      <c r="Q52" s="73" t="str">
        <f>IF(Q$3&lt;&gt;"",Empréstimo!S198,"")</f>
        <v/>
      </c>
      <c r="R52" s="73" t="str">
        <f>IF(R$3&lt;&gt;"",Empréstimo!T198,"")</f>
        <v/>
      </c>
    </row>
    <row r="53" spans="2:18" ht="13.2" hidden="1">
      <c r="B53" s="71" t="s">
        <v>222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</row>
    <row r="54" spans="2:18" ht="13.2" hidden="1">
      <c r="B54" s="71" t="s">
        <v>223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</row>
    <row r="55" spans="2:18" ht="13.2" hidden="1">
      <c r="B55" s="71" t="s">
        <v>224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</row>
    <row r="56" spans="2:18" ht="13.2">
      <c r="B56" s="37" t="s">
        <v>225</v>
      </c>
      <c r="C56" s="76">
        <f>IF(C$3&lt;&gt;"",SUM(C51:C55),"")</f>
        <v>88965.042525760917</v>
      </c>
      <c r="D56" s="76">
        <f t="shared" ref="D56:R56" si="6">IF(D$3&lt;&gt;"",SUM(D51:D55),"")</f>
        <v>-2.9103830456733704E-11</v>
      </c>
      <c r="E56" s="76">
        <f t="shared" si="6"/>
        <v>0</v>
      </c>
      <c r="F56" s="76" t="str">
        <f t="shared" si="6"/>
        <v/>
      </c>
      <c r="G56" s="76" t="str">
        <f t="shared" si="6"/>
        <v/>
      </c>
      <c r="H56" s="76" t="str">
        <f t="shared" si="6"/>
        <v/>
      </c>
      <c r="I56" s="76" t="str">
        <f t="shared" si="6"/>
        <v/>
      </c>
      <c r="J56" s="76" t="str">
        <f t="shared" si="6"/>
        <v/>
      </c>
      <c r="K56" s="76" t="str">
        <f t="shared" si="6"/>
        <v/>
      </c>
      <c r="L56" s="76" t="str">
        <f t="shared" si="6"/>
        <v/>
      </c>
      <c r="M56" s="76" t="str">
        <f t="shared" si="6"/>
        <v/>
      </c>
      <c r="N56" s="76" t="str">
        <f t="shared" si="6"/>
        <v/>
      </c>
      <c r="O56" s="76" t="str">
        <f t="shared" si="6"/>
        <v/>
      </c>
      <c r="P56" s="76" t="str">
        <f t="shared" si="6"/>
        <v/>
      </c>
      <c r="Q56" s="76" t="str">
        <f t="shared" si="6"/>
        <v/>
      </c>
      <c r="R56" s="76" t="str">
        <f t="shared" si="6"/>
        <v/>
      </c>
    </row>
    <row r="57" spans="2:18" ht="13.2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8" ht="13.2">
      <c r="B58" s="37" t="s">
        <v>226</v>
      </c>
      <c r="C58" s="37"/>
      <c r="D58" s="37"/>
      <c r="E58" s="37"/>
      <c r="F58" s="37"/>
      <c r="G58" s="37"/>
      <c r="H58" s="37"/>
      <c r="I58" s="37"/>
      <c r="J58" s="37"/>
      <c r="K58" s="37"/>
    </row>
    <row r="59" spans="2:18" ht="13.2">
      <c r="B59" s="71" t="s">
        <v>227</v>
      </c>
      <c r="C59" s="72"/>
      <c r="D59" s="72">
        <f>IF(D$3&lt;&gt;"",NFM!D28,"")</f>
        <v>31388.230266666669</v>
      </c>
      <c r="E59" s="72">
        <f>IF(E$3&lt;&gt;"",NFM!E28,"")</f>
        <v>44230.578205333346</v>
      </c>
      <c r="F59" s="72" t="str">
        <f>IF(F$3&lt;&gt;"",NFM!F28,"")</f>
        <v/>
      </c>
      <c r="G59" s="72" t="str">
        <f>IF(G$3&lt;&gt;"",NFM!G28,"")</f>
        <v/>
      </c>
      <c r="H59" s="72" t="str">
        <f>IF(H$3&lt;&gt;"",NFM!H28,"")</f>
        <v/>
      </c>
      <c r="I59" s="72" t="str">
        <f>IF(I$3&lt;&gt;"",NFM!I28,"")</f>
        <v/>
      </c>
      <c r="J59" s="72" t="str">
        <f>IF(J$3&lt;&gt;"",NFM!J28,"")</f>
        <v/>
      </c>
      <c r="K59" s="72" t="str">
        <f>IF(K$3&lt;&gt;"",NFM!K28,"")</f>
        <v/>
      </c>
      <c r="L59" s="72" t="str">
        <f>IF(L$3&lt;&gt;"",NFM!L28,"")</f>
        <v/>
      </c>
      <c r="M59" s="72" t="str">
        <f>IF(M$3&lt;&gt;"",NFM!M28,"")</f>
        <v/>
      </c>
      <c r="N59" s="72" t="str">
        <f>IF(N$3&lt;&gt;"",NFM!N28,"")</f>
        <v/>
      </c>
      <c r="O59" s="72" t="str">
        <f>IF(O$3&lt;&gt;"",NFM!O28,"")</f>
        <v/>
      </c>
      <c r="P59" s="72" t="str">
        <f>IF(P$3&lt;&gt;"",NFM!P28,"")</f>
        <v/>
      </c>
      <c r="Q59" s="72" t="str">
        <f>IF(Q$3&lt;&gt;"",NFM!Q28,"")</f>
        <v/>
      </c>
      <c r="R59" s="72" t="str">
        <f>IF(R$3&lt;&gt;"",NFM!R28,"")</f>
        <v/>
      </c>
    </row>
    <row r="60" spans="2:18" ht="13.2" hidden="1">
      <c r="B60" s="71" t="s">
        <v>228</v>
      </c>
      <c r="C60" s="72"/>
      <c r="D60" s="72"/>
      <c r="E60" s="72"/>
      <c r="F60" s="72"/>
      <c r="G60" s="72"/>
      <c r="H60" s="72"/>
      <c r="I60" s="72"/>
      <c r="J60" s="72"/>
      <c r="K60" s="72"/>
    </row>
    <row r="61" spans="2:18" ht="13.2">
      <c r="B61" s="71" t="s">
        <v>229</v>
      </c>
      <c r="C61" s="72"/>
      <c r="D61" s="72">
        <f>IF(D$3&lt;&gt;"",NFM!D29,"")</f>
        <v>1530.3749999999998</v>
      </c>
      <c r="E61" s="72">
        <f>IF(E$3&lt;&gt;"",NFM!E29,"")</f>
        <v>1560.9825000000001</v>
      </c>
      <c r="F61" s="72" t="str">
        <f>IF(F$3&lt;&gt;"",NFM!F29,"")</f>
        <v/>
      </c>
      <c r="G61" s="72" t="str">
        <f>IF(G$3&lt;&gt;"",NFM!G29,"")</f>
        <v/>
      </c>
      <c r="H61" s="72" t="str">
        <f>IF(H$3&lt;&gt;"",NFM!H29,"")</f>
        <v/>
      </c>
      <c r="I61" s="72" t="str">
        <f>IF(I$3&lt;&gt;"",NFM!I29,"")</f>
        <v/>
      </c>
      <c r="J61" s="72" t="str">
        <f>IF(J$3&lt;&gt;"",NFM!J29,"")</f>
        <v/>
      </c>
      <c r="K61" s="72" t="str">
        <f>IF(K$3&lt;&gt;"",NFM!K29,"")</f>
        <v/>
      </c>
      <c r="L61" s="72" t="str">
        <f>IF(L$3&lt;&gt;"",NFM!L29,"")</f>
        <v/>
      </c>
      <c r="M61" s="72" t="str">
        <f>IF(M$3&lt;&gt;"",NFM!M29,"")</f>
        <v/>
      </c>
      <c r="N61" s="72" t="str">
        <f>IF(N$3&lt;&gt;"",NFM!N29,"")</f>
        <v/>
      </c>
      <c r="O61" s="72" t="str">
        <f>IF(O$3&lt;&gt;"",NFM!O29,"")</f>
        <v/>
      </c>
      <c r="P61" s="72" t="str">
        <f>IF(P$3&lt;&gt;"",NFM!P29,"")</f>
        <v/>
      </c>
      <c r="Q61" s="72" t="str">
        <f>IF(Q$3&lt;&gt;"",NFM!Q29,"")</f>
        <v/>
      </c>
      <c r="R61" s="72" t="str">
        <f>IF(R$3&lt;&gt;"",NFM!R29,"")</f>
        <v/>
      </c>
    </row>
    <row r="62" spans="2:18" ht="13.2" hidden="1">
      <c r="B62" s="71" t="s">
        <v>199</v>
      </c>
      <c r="C62" s="72"/>
      <c r="D62" s="72"/>
      <c r="E62" s="72"/>
      <c r="F62" s="72"/>
      <c r="G62" s="72"/>
      <c r="H62" s="72"/>
      <c r="I62" s="72"/>
      <c r="J62" s="72"/>
      <c r="K62" s="72"/>
    </row>
    <row r="63" spans="2:18" ht="13.2">
      <c r="B63" s="71" t="s">
        <v>221</v>
      </c>
      <c r="C63" s="72">
        <f>IF(C$3&lt;&gt;"",Empréstimo!E199,"")</f>
        <v>84634.957474239083</v>
      </c>
      <c r="D63" s="72">
        <f>IF(D$3&lt;&gt;"",Empréstimo!F199,"")</f>
        <v>88965.042525760946</v>
      </c>
      <c r="E63" s="72" t="str">
        <f>IF(E$3&lt;&gt;"",Empréstimo!G199,"")</f>
        <v/>
      </c>
      <c r="F63" s="72" t="str">
        <f>IF(F$3&lt;&gt;"",Empréstimo!H199,"")</f>
        <v/>
      </c>
      <c r="G63" s="72" t="str">
        <f>IF(G$3&lt;&gt;"",Empréstimo!I199,"")</f>
        <v/>
      </c>
      <c r="H63" s="72" t="str">
        <f>IF(H$3&lt;&gt;"",Empréstimo!J199,"")</f>
        <v/>
      </c>
      <c r="I63" s="72" t="str">
        <f>IF(I$3&lt;&gt;"",Empréstimo!K199,"")</f>
        <v/>
      </c>
      <c r="J63" s="72" t="str">
        <f>IF(J$3&lt;&gt;"",Empréstimo!L199,"")</f>
        <v/>
      </c>
      <c r="K63" s="72" t="str">
        <f>IF(K$3&lt;&gt;"",Empréstimo!M199,"")</f>
        <v/>
      </c>
      <c r="L63" s="72" t="str">
        <f>IF(L$3&lt;&gt;"",Empréstimo!N199,"")</f>
        <v/>
      </c>
      <c r="M63" s="72" t="str">
        <f>IF(M$3&lt;&gt;"",Empréstimo!O199,"")</f>
        <v/>
      </c>
      <c r="N63" s="72" t="str">
        <f>IF(N$3&lt;&gt;"",Empréstimo!P199,"")</f>
        <v/>
      </c>
      <c r="O63" s="72" t="str">
        <f>IF(O$3&lt;&gt;"",Empréstimo!Q199,"")</f>
        <v/>
      </c>
      <c r="P63" s="72" t="str">
        <f>IF(P$3&lt;&gt;"",Empréstimo!R199,"")</f>
        <v/>
      </c>
      <c r="Q63" s="72" t="str">
        <f>IF(Q$3&lt;&gt;"",Empréstimo!S199,"")</f>
        <v/>
      </c>
      <c r="R63" s="72" t="str">
        <f>IF(R$3&lt;&gt;"",Empréstimo!T199,"")</f>
        <v/>
      </c>
    </row>
    <row r="64" spans="2:18" ht="13.2" hidden="1">
      <c r="B64" s="71" t="s">
        <v>224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</row>
    <row r="65" spans="2:18" ht="13.2" hidden="1">
      <c r="B65" s="71" t="s">
        <v>201</v>
      </c>
      <c r="C65" s="72"/>
      <c r="D65" s="72"/>
      <c r="E65" s="72"/>
      <c r="F65" s="72"/>
      <c r="G65" s="72"/>
      <c r="H65" s="72"/>
      <c r="I65" s="72"/>
      <c r="J65" s="72"/>
      <c r="K65" s="72"/>
    </row>
    <row r="66" spans="2:18" ht="13.2" hidden="1">
      <c r="B66" s="71" t="s">
        <v>230</v>
      </c>
      <c r="C66" s="72"/>
      <c r="D66" s="72"/>
      <c r="E66" s="72"/>
      <c r="F66" s="72"/>
      <c r="G66" s="72"/>
      <c r="H66" s="72"/>
      <c r="I66" s="72"/>
      <c r="J66" s="72"/>
      <c r="K66" s="72"/>
    </row>
    <row r="67" spans="2:18" ht="13.2" hidden="1">
      <c r="B67" s="71" t="s">
        <v>231</v>
      </c>
      <c r="C67" s="72"/>
      <c r="D67" s="72"/>
      <c r="E67" s="72"/>
      <c r="F67" s="72"/>
      <c r="G67" s="72"/>
      <c r="H67" s="72"/>
      <c r="I67" s="72"/>
      <c r="J67" s="72"/>
      <c r="K67" s="72"/>
    </row>
    <row r="68" spans="2:18" ht="13.2" hidden="1">
      <c r="B68" s="71" t="s">
        <v>232</v>
      </c>
      <c r="C68" s="72"/>
      <c r="D68" s="72"/>
      <c r="E68" s="72"/>
      <c r="F68" s="72"/>
      <c r="G68" s="72"/>
      <c r="H68" s="72"/>
      <c r="I68" s="72"/>
      <c r="J68" s="72"/>
      <c r="K68" s="72"/>
    </row>
    <row r="69" spans="2:18" ht="13.2" hidden="1">
      <c r="B69" s="71" t="s">
        <v>233</v>
      </c>
      <c r="C69" s="79"/>
      <c r="D69" s="79"/>
      <c r="E69" s="79"/>
      <c r="F69" s="79"/>
      <c r="G69" s="79"/>
      <c r="H69" s="79"/>
      <c r="I69" s="79"/>
      <c r="J69" s="79"/>
      <c r="K69" s="79"/>
      <c r="L69" s="68"/>
    </row>
    <row r="70" spans="2:18" ht="13.2">
      <c r="B70" s="37" t="s">
        <v>234</v>
      </c>
      <c r="C70" s="75">
        <f>IF(C$3&lt;&gt;"",SUM(C59:C69),"")</f>
        <v>84634.957474239083</v>
      </c>
      <c r="D70" s="75">
        <f t="shared" ref="D70:R70" si="7">IF(D$3&lt;&gt;"",SUM(D59:D69),"")</f>
        <v>121883.64779242761</v>
      </c>
      <c r="E70" s="75">
        <f t="shared" si="7"/>
        <v>45791.560705333344</v>
      </c>
      <c r="F70" s="75" t="str">
        <f t="shared" si="7"/>
        <v/>
      </c>
      <c r="G70" s="75" t="str">
        <f t="shared" si="7"/>
        <v/>
      </c>
      <c r="H70" s="75" t="str">
        <f t="shared" si="7"/>
        <v/>
      </c>
      <c r="I70" s="75" t="str">
        <f t="shared" si="7"/>
        <v/>
      </c>
      <c r="J70" s="75" t="str">
        <f t="shared" si="7"/>
        <v/>
      </c>
      <c r="K70" s="75" t="str">
        <f t="shared" si="7"/>
        <v/>
      </c>
      <c r="L70" s="75" t="str">
        <f t="shared" si="7"/>
        <v/>
      </c>
      <c r="M70" s="75" t="str">
        <f t="shared" si="7"/>
        <v/>
      </c>
      <c r="N70" s="75" t="str">
        <f t="shared" si="7"/>
        <v/>
      </c>
      <c r="O70" s="75" t="str">
        <f t="shared" si="7"/>
        <v/>
      </c>
      <c r="P70" s="75" t="str">
        <f t="shared" si="7"/>
        <v/>
      </c>
      <c r="Q70" s="75" t="str">
        <f t="shared" si="7"/>
        <v/>
      </c>
      <c r="R70" s="75" t="str">
        <f t="shared" si="7"/>
        <v/>
      </c>
    </row>
    <row r="71" spans="2:18" ht="13.2">
      <c r="B71" s="37" t="s">
        <v>235</v>
      </c>
      <c r="C71" s="80">
        <f>IF(C$3&lt;&gt;"",C70+C56,"")</f>
        <v>173600</v>
      </c>
      <c r="D71" s="80">
        <f t="shared" ref="D71:R71" si="8">IF(D$3&lt;&gt;"",D70+D56,"")</f>
        <v>121883.64779242758</v>
      </c>
      <c r="E71" s="80">
        <f t="shared" si="8"/>
        <v>45791.560705333344</v>
      </c>
      <c r="F71" s="80" t="str">
        <f t="shared" si="8"/>
        <v/>
      </c>
      <c r="G71" s="80" t="str">
        <f t="shared" si="8"/>
        <v/>
      </c>
      <c r="H71" s="80" t="str">
        <f t="shared" si="8"/>
        <v/>
      </c>
      <c r="I71" s="80" t="str">
        <f t="shared" si="8"/>
        <v/>
      </c>
      <c r="J71" s="80" t="str">
        <f t="shared" si="8"/>
        <v/>
      </c>
      <c r="K71" s="80" t="str">
        <f t="shared" si="8"/>
        <v/>
      </c>
      <c r="L71" s="80" t="str">
        <f t="shared" si="8"/>
        <v/>
      </c>
      <c r="M71" s="80" t="str">
        <f t="shared" si="8"/>
        <v/>
      </c>
      <c r="N71" s="80" t="str">
        <f t="shared" si="8"/>
        <v/>
      </c>
      <c r="O71" s="80" t="str">
        <f t="shared" si="8"/>
        <v/>
      </c>
      <c r="P71" s="80" t="str">
        <f t="shared" si="8"/>
        <v/>
      </c>
      <c r="Q71" s="80" t="str">
        <f t="shared" si="8"/>
        <v/>
      </c>
      <c r="R71" s="80" t="str">
        <f t="shared" si="8"/>
        <v/>
      </c>
    </row>
    <row r="72" spans="2:18" ht="13.2">
      <c r="B72" s="81" t="s">
        <v>236</v>
      </c>
      <c r="C72" s="82">
        <f>IF(C$3&lt;&gt;"",C47+C71,"")</f>
        <v>434000</v>
      </c>
      <c r="D72" s="82">
        <f t="shared" ref="D72:R72" si="9">IF(D$3&lt;&gt;"",D47+D71,"")</f>
        <v>594169.0382666667</v>
      </c>
      <c r="E72" s="82">
        <f t="shared" si="9"/>
        <v>625639.85587556253</v>
      </c>
      <c r="F72" s="82" t="str">
        <f t="shared" si="9"/>
        <v/>
      </c>
      <c r="G72" s="82" t="str">
        <f t="shared" si="9"/>
        <v/>
      </c>
      <c r="H72" s="82" t="str">
        <f t="shared" si="9"/>
        <v/>
      </c>
      <c r="I72" s="82" t="str">
        <f t="shared" si="9"/>
        <v/>
      </c>
      <c r="J72" s="82" t="str">
        <f t="shared" si="9"/>
        <v/>
      </c>
      <c r="K72" s="82" t="str">
        <f t="shared" si="9"/>
        <v/>
      </c>
      <c r="L72" s="82" t="str">
        <f t="shared" si="9"/>
        <v/>
      </c>
      <c r="M72" s="82" t="str">
        <f t="shared" si="9"/>
        <v/>
      </c>
      <c r="N72" s="82" t="str">
        <f t="shared" si="9"/>
        <v/>
      </c>
      <c r="O72" s="82" t="str">
        <f t="shared" si="9"/>
        <v/>
      </c>
      <c r="P72" s="82" t="str">
        <f t="shared" si="9"/>
        <v/>
      </c>
      <c r="Q72" s="82" t="str">
        <f t="shared" si="9"/>
        <v/>
      </c>
      <c r="R72" s="82" t="str">
        <f t="shared" si="9"/>
        <v/>
      </c>
    </row>
    <row r="74" spans="2:18" ht="13.2">
      <c r="B74" s="83" t="s">
        <v>237</v>
      </c>
      <c r="C74" s="84">
        <f t="shared" ref="C74:R74" si="10">IF(C$3&lt;&gt;"",C33-C72,"")</f>
        <v>0</v>
      </c>
      <c r="D74" s="84">
        <f t="shared" si="10"/>
        <v>0</v>
      </c>
      <c r="E74" s="84">
        <f t="shared" si="10"/>
        <v>0</v>
      </c>
      <c r="F74" s="84" t="str">
        <f t="shared" si="10"/>
        <v/>
      </c>
      <c r="G74" s="84" t="str">
        <f t="shared" si="10"/>
        <v/>
      </c>
      <c r="H74" s="84" t="str">
        <f t="shared" si="10"/>
        <v/>
      </c>
      <c r="I74" s="84" t="str">
        <f t="shared" si="10"/>
        <v/>
      </c>
      <c r="J74" s="84" t="str">
        <f t="shared" si="10"/>
        <v/>
      </c>
      <c r="K74" s="84" t="str">
        <f t="shared" si="10"/>
        <v/>
      </c>
      <c r="L74" s="84" t="str">
        <f t="shared" si="10"/>
        <v/>
      </c>
      <c r="M74" s="84" t="str">
        <f t="shared" si="10"/>
        <v/>
      </c>
      <c r="N74" s="84" t="str">
        <f t="shared" si="10"/>
        <v/>
      </c>
      <c r="O74" s="84" t="str">
        <f t="shared" si="10"/>
        <v/>
      </c>
      <c r="P74" s="84" t="str">
        <f t="shared" si="10"/>
        <v/>
      </c>
      <c r="Q74" s="84" t="str">
        <f t="shared" si="10"/>
        <v/>
      </c>
      <c r="R74" s="84" t="str">
        <f t="shared" si="10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D760-34B6-4757-BCA1-CAF31DBDBFBD}">
  <dimension ref="A1:R25"/>
  <sheetViews>
    <sheetView showGridLines="0" topLeftCell="A5" workbookViewId="0">
      <selection activeCell="D27" sqref="D27"/>
    </sheetView>
  </sheetViews>
  <sheetFormatPr defaultRowHeight="12"/>
  <cols>
    <col min="1" max="1" width="8.88671875" style="25"/>
    <col min="2" max="2" width="51" style="25" bestFit="1" customWidth="1"/>
    <col min="3" max="18" width="11.21875" style="25" customWidth="1"/>
    <col min="19" max="16384" width="8.88671875" style="25"/>
  </cols>
  <sheetData>
    <row r="1" spans="1:18" s="1" customFormat="1" ht="13.2">
      <c r="B1" s="2"/>
      <c r="C1" s="2"/>
      <c r="D1" s="2"/>
      <c r="E1" s="2"/>
      <c r="F1" s="2"/>
      <c r="G1" s="2"/>
      <c r="H1" s="2"/>
      <c r="I1" s="2"/>
    </row>
    <row r="2" spans="1:18" ht="13.2">
      <c r="B2" s="101" t="s">
        <v>300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8" s="27" customFormat="1" ht="13.2">
      <c r="B3" s="26" t="s">
        <v>15</v>
      </c>
      <c r="C3" s="26"/>
      <c r="D3" s="26">
        <f>IF(Pressupostos!F10&lt;&gt;"",Pressupostos!F10,"")</f>
        <v>2024</v>
      </c>
      <c r="E3" s="26">
        <f>IF(Pressupostos!G10&lt;&gt;"",Pressupostos!G10,"")</f>
        <v>2025</v>
      </c>
      <c r="F3" s="26" t="str">
        <f>IF(Pressupostos!H10&lt;&gt;"",Pressupostos!H10,"")</f>
        <v/>
      </c>
      <c r="G3" s="26" t="str">
        <f>IF(Pressupostos!I10&lt;&gt;"",Pressupostos!I10,"")</f>
        <v/>
      </c>
      <c r="H3" s="26" t="str">
        <f>IF(Pressupostos!J10&lt;&gt;"",Pressupostos!J10,"")</f>
        <v/>
      </c>
      <c r="I3" s="26" t="str">
        <f>IF(Pressupostos!K10&lt;&gt;"",Pressupostos!K10,"")</f>
        <v/>
      </c>
      <c r="J3" s="26" t="str">
        <f>IF(Pressupostos!L10&lt;&gt;"",Pressupostos!L10,"")</f>
        <v/>
      </c>
      <c r="K3" s="26" t="str">
        <f>IF(Pressupostos!M10&lt;&gt;"",Pressupostos!M10,"")</f>
        <v/>
      </c>
      <c r="L3" s="26" t="str">
        <f>IF(Pressupostos!N10&lt;&gt;"",Pressupostos!N10,"")</f>
        <v/>
      </c>
      <c r="M3" s="26" t="str">
        <f>IF(Pressupostos!O10&lt;&gt;"",Pressupostos!O10,"")</f>
        <v/>
      </c>
      <c r="N3" s="26" t="str">
        <f>IF(Pressupostos!P10&lt;&gt;"",Pressupostos!P10,"")</f>
        <v/>
      </c>
      <c r="O3" s="26" t="str">
        <f>IF(Pressupostos!Q10&lt;&gt;"",Pressupostos!Q10,"")</f>
        <v/>
      </c>
      <c r="P3" s="26" t="str">
        <f>IF(Pressupostos!R10&lt;&gt;"",Pressupostos!R10,"")</f>
        <v/>
      </c>
      <c r="Q3" s="26" t="str">
        <f>IF(Pressupostos!S10&lt;&gt;"",Pressupostos!S10,"")</f>
        <v/>
      </c>
      <c r="R3" s="26" t="str">
        <f>IF(Pressupostos!T10&lt;&gt;"",Pressupostos!T10,"")</f>
        <v/>
      </c>
    </row>
    <row r="4" spans="1:18" s="17" customFormat="1" ht="13.2">
      <c r="B4" s="70"/>
      <c r="C4" s="70"/>
      <c r="D4" s="70"/>
      <c r="E4" s="70"/>
      <c r="F4" s="70"/>
      <c r="G4" s="70"/>
      <c r="H4" s="70"/>
      <c r="I4" s="70"/>
      <c r="J4" s="27"/>
      <c r="K4" s="27"/>
      <c r="L4" s="27"/>
    </row>
    <row r="5" spans="1:18" s="17" customFormat="1" ht="13.2">
      <c r="A5" s="88"/>
      <c r="B5" s="89" t="s">
        <v>303</v>
      </c>
      <c r="C5" s="29"/>
      <c r="D5" s="29">
        <f>IF(D$3&lt;&gt;"",Balanço!C47,"")</f>
        <v>260400</v>
      </c>
      <c r="E5" s="29">
        <f>IF(E$3&lt;&gt;"",Balanço!D47,"")</f>
        <v>472285.39047423907</v>
      </c>
      <c r="F5" s="29" t="str">
        <f>IF(F$3&lt;&gt;"",Balanço!E47,"")</f>
        <v/>
      </c>
      <c r="G5" s="29" t="str">
        <f>IF(G$3&lt;&gt;"",Balanço!F47,"")</f>
        <v/>
      </c>
      <c r="H5" s="29" t="str">
        <f>IF(H$3&lt;&gt;"",Balanço!G47,"")</f>
        <v/>
      </c>
      <c r="I5" s="29" t="str">
        <f>IF(I$3&lt;&gt;"",Balanço!H47,"")</f>
        <v/>
      </c>
      <c r="J5" s="29" t="str">
        <f>IF(J$3&lt;&gt;"",Balanço!I47,"")</f>
        <v/>
      </c>
      <c r="K5" s="29" t="str">
        <f>IF(K$3&lt;&gt;"",Balanço!J47,"")</f>
        <v/>
      </c>
      <c r="L5" s="29" t="str">
        <f>IF(L$3&lt;&gt;"",Balanço!K47,"")</f>
        <v/>
      </c>
      <c r="M5" s="29" t="str">
        <f>IF(M$3&lt;&gt;"",Balanço!L47,"")</f>
        <v/>
      </c>
      <c r="N5" s="29" t="str">
        <f>IF(N$3&lt;&gt;"",Balanço!M47,"")</f>
        <v/>
      </c>
      <c r="O5" s="29" t="str">
        <f>IF(O$3&lt;&gt;"",Balanço!N47,"")</f>
        <v/>
      </c>
      <c r="P5" s="29" t="str">
        <f>IF(P$3&lt;&gt;"",Balanço!O47,"")</f>
        <v/>
      </c>
      <c r="Q5" s="29" t="str">
        <f>IF(Q$3&lt;&gt;"",Balanço!P47,"")</f>
        <v/>
      </c>
      <c r="R5" s="29" t="str">
        <f>IF(R$3&lt;&gt;"",Balanço!Q47,"")</f>
        <v/>
      </c>
    </row>
    <row r="6" spans="1:18" s="17" customFormat="1" ht="13.2">
      <c r="A6" s="88"/>
      <c r="B6" s="28" t="s">
        <v>304</v>
      </c>
      <c r="C6" s="29"/>
      <c r="D6" s="103">
        <f>IF(D$3&lt;&gt;"",Balanço!C52+Balanço!C63,"")</f>
        <v>173600</v>
      </c>
      <c r="E6" s="103">
        <f>IF(E$3&lt;&gt;"",Balanço!D52+Balanço!D63,"")</f>
        <v>88965.042525760917</v>
      </c>
      <c r="F6" s="103" t="str">
        <f>IF(F$3&lt;&gt;"",Balanço!E52+Balanço!E63,"")</f>
        <v/>
      </c>
      <c r="G6" s="103" t="str">
        <f>IF(G$3&lt;&gt;"",Balanço!F52+Balanço!F63,"")</f>
        <v/>
      </c>
      <c r="H6" s="103" t="str">
        <f>IF(H$3&lt;&gt;"",Balanço!G52+Balanço!G63,"")</f>
        <v/>
      </c>
      <c r="I6" s="103" t="str">
        <f>IF(I$3&lt;&gt;"",Balanço!H52+Balanço!H63,"")</f>
        <v/>
      </c>
      <c r="J6" s="103" t="str">
        <f>IF(J$3&lt;&gt;"",Balanço!I52+Balanço!I63,"")</f>
        <v/>
      </c>
      <c r="K6" s="103" t="str">
        <f>IF(K$3&lt;&gt;"",Balanço!J52+Balanço!J63,"")</f>
        <v/>
      </c>
      <c r="L6" s="103" t="str">
        <f>IF(L$3&lt;&gt;"",Balanço!K52+Balanço!K63,"")</f>
        <v/>
      </c>
      <c r="M6" s="103" t="str">
        <f>IF(M$3&lt;&gt;"",Balanço!L52+Balanço!L63,"")</f>
        <v/>
      </c>
      <c r="N6" s="103" t="str">
        <f>IF(N$3&lt;&gt;"",Balanço!M52+Balanço!M63,"")</f>
        <v/>
      </c>
      <c r="O6" s="103" t="str">
        <f>IF(O$3&lt;&gt;"",Balanço!N52+Balanço!N63,"")</f>
        <v/>
      </c>
      <c r="P6" s="103" t="str">
        <f>IF(P$3&lt;&gt;"",Balanço!O52+Balanço!O63,"")</f>
        <v/>
      </c>
      <c r="Q6" s="103" t="str">
        <f>IF(Q$3&lt;&gt;"",Balanço!P52+Balanço!P63,"")</f>
        <v/>
      </c>
      <c r="R6" s="103" t="str">
        <f>IF(R$3&lt;&gt;"",Balanço!Q52+Balanço!Q63,"")</f>
        <v/>
      </c>
    </row>
    <row r="7" spans="1:18" s="17" customFormat="1" ht="13.2">
      <c r="A7" s="88"/>
      <c r="B7" s="89" t="s">
        <v>305</v>
      </c>
      <c r="C7" s="90"/>
      <c r="D7" s="29">
        <f>IF(D$3&lt;&gt;"",SUM(D5:D6),"")</f>
        <v>434000</v>
      </c>
      <c r="E7" s="29">
        <f t="shared" ref="E7:R7" si="0">IF(E$3&lt;&gt;"",SUM(E5:E6),"")</f>
        <v>561250.43299999996</v>
      </c>
      <c r="F7" s="29" t="str">
        <f t="shared" si="0"/>
        <v/>
      </c>
      <c r="G7" s="29" t="str">
        <f t="shared" si="0"/>
        <v/>
      </c>
      <c r="H7" s="29" t="str">
        <f t="shared" si="0"/>
        <v/>
      </c>
      <c r="I7" s="29" t="str">
        <f t="shared" si="0"/>
        <v/>
      </c>
      <c r="J7" s="29" t="str">
        <f t="shared" si="0"/>
        <v/>
      </c>
      <c r="K7" s="29" t="str">
        <f t="shared" si="0"/>
        <v/>
      </c>
      <c r="L7" s="29" t="str">
        <f t="shared" si="0"/>
        <v/>
      </c>
      <c r="M7" s="29" t="str">
        <f t="shared" si="0"/>
        <v/>
      </c>
      <c r="N7" s="29" t="str">
        <f t="shared" si="0"/>
        <v/>
      </c>
      <c r="O7" s="29" t="str">
        <f t="shared" si="0"/>
        <v/>
      </c>
      <c r="P7" s="29" t="str">
        <f t="shared" si="0"/>
        <v/>
      </c>
      <c r="Q7" s="29" t="str">
        <f t="shared" si="0"/>
        <v/>
      </c>
      <c r="R7" s="29" t="str">
        <f t="shared" si="0"/>
        <v/>
      </c>
    </row>
    <row r="8" spans="1:18" s="17" customFormat="1" ht="13.2">
      <c r="A8" s="88"/>
      <c r="B8" s="89" t="s">
        <v>301</v>
      </c>
      <c r="C8" s="90" t="str">
        <f>IF(C$3&lt;&gt;"",-Pressupostos!E167-Pressupostos!E189,"")</f>
        <v/>
      </c>
      <c r="D8" s="104">
        <f>IF(D$3&lt;&gt;"",D5/D$7,"")</f>
        <v>0.6</v>
      </c>
      <c r="E8" s="104">
        <f t="shared" ref="E8:R8" si="1">IF(E$3&lt;&gt;"",E5/E$7,"")</f>
        <v>0.84148779707799193</v>
      </c>
      <c r="F8" s="104" t="str">
        <f t="shared" si="1"/>
        <v/>
      </c>
      <c r="G8" s="104" t="str">
        <f t="shared" si="1"/>
        <v/>
      </c>
      <c r="H8" s="104" t="str">
        <f t="shared" si="1"/>
        <v/>
      </c>
      <c r="I8" s="104" t="str">
        <f t="shared" si="1"/>
        <v/>
      </c>
      <c r="J8" s="104" t="str">
        <f t="shared" si="1"/>
        <v/>
      </c>
      <c r="K8" s="104" t="str">
        <f t="shared" si="1"/>
        <v/>
      </c>
      <c r="L8" s="104" t="str">
        <f t="shared" si="1"/>
        <v/>
      </c>
      <c r="M8" s="104" t="str">
        <f t="shared" si="1"/>
        <v/>
      </c>
      <c r="N8" s="104" t="str">
        <f t="shared" si="1"/>
        <v/>
      </c>
      <c r="O8" s="104" t="str">
        <f t="shared" si="1"/>
        <v/>
      </c>
      <c r="P8" s="104" t="str">
        <f t="shared" si="1"/>
        <v/>
      </c>
      <c r="Q8" s="104" t="str">
        <f t="shared" si="1"/>
        <v/>
      </c>
      <c r="R8" s="104" t="str">
        <f t="shared" si="1"/>
        <v/>
      </c>
    </row>
    <row r="9" spans="1:18" s="17" customFormat="1" ht="13.2">
      <c r="A9" s="88"/>
      <c r="B9" s="28" t="s">
        <v>302</v>
      </c>
      <c r="C9" s="90"/>
      <c r="D9" s="104">
        <f>IF(D$3&lt;&gt;"",D6/D$7,"")</f>
        <v>0.4</v>
      </c>
      <c r="E9" s="104">
        <f t="shared" ref="E9:R9" si="2">IF(E$3&lt;&gt;"",E6/E$7,"")</f>
        <v>0.15851220292200813</v>
      </c>
      <c r="F9" s="104" t="str">
        <f t="shared" si="2"/>
        <v/>
      </c>
      <c r="G9" s="104" t="str">
        <f t="shared" si="2"/>
        <v/>
      </c>
      <c r="H9" s="104" t="str">
        <f t="shared" si="2"/>
        <v/>
      </c>
      <c r="I9" s="104" t="str">
        <f t="shared" si="2"/>
        <v/>
      </c>
      <c r="J9" s="104" t="str">
        <f t="shared" si="2"/>
        <v/>
      </c>
      <c r="K9" s="104" t="str">
        <f t="shared" si="2"/>
        <v/>
      </c>
      <c r="L9" s="104" t="str">
        <f t="shared" si="2"/>
        <v/>
      </c>
      <c r="M9" s="104" t="str">
        <f t="shared" si="2"/>
        <v/>
      </c>
      <c r="N9" s="104" t="str">
        <f t="shared" si="2"/>
        <v/>
      </c>
      <c r="O9" s="104" t="str">
        <f t="shared" si="2"/>
        <v/>
      </c>
      <c r="P9" s="104" t="str">
        <f t="shared" si="2"/>
        <v/>
      </c>
      <c r="Q9" s="104" t="str">
        <f t="shared" si="2"/>
        <v/>
      </c>
      <c r="R9" s="104" t="str">
        <f t="shared" si="2"/>
        <v/>
      </c>
    </row>
    <row r="11" spans="1:18" ht="13.2">
      <c r="B11" s="105" t="s">
        <v>306</v>
      </c>
      <c r="C11" s="106"/>
      <c r="D11" s="107">
        <f>IF(D$3&lt;&gt;"",D8*Pressupostos!$E$265+D9*((1+IRR(Empréstimo!$J$14:$J$194))^12-1),"")</f>
        <v>9.0013025068506128E-2</v>
      </c>
      <c r="E11" s="107">
        <f>IF(E$3&lt;&gt;"",E8*Pressupostos!$E$265+E9*((1+IRR(Empréstimo!$J$14:$J$194))^12-1),"")</f>
        <v>0.10811674636160469</v>
      </c>
      <c r="F11" s="107" t="str">
        <f>IF(F$3&lt;&gt;"",F8*Pressupostos!$E$265+F9*((1+IRR(Empréstimo!$J$14:$J$194))^12-1),"")</f>
        <v/>
      </c>
      <c r="G11" s="107" t="str">
        <f>IF(G$3&lt;&gt;"",G8*Pressupostos!$E$265+G9*((1+IRR(Empréstimo!$J$14:$J$194))^12-1),"")</f>
        <v/>
      </c>
      <c r="H11" s="107" t="str">
        <f>IF(H$3&lt;&gt;"",H8*Pressupostos!$E$265+H9*((1+IRR(Empréstimo!$J$14:$J$194))^12-1),"")</f>
        <v/>
      </c>
      <c r="I11" s="107" t="str">
        <f>IF(I$3&lt;&gt;"",I8*Pressupostos!$E$265+I9*((1+IRR(Empréstimo!$J$14:$J$194))^12-1),"")</f>
        <v/>
      </c>
      <c r="J11" s="107" t="str">
        <f>IF(J$3&lt;&gt;"",J8*Pressupostos!$E$265+J9*((1+IRR(Empréstimo!$J$14:$J$194))^12-1),"")</f>
        <v/>
      </c>
      <c r="K11" s="107" t="str">
        <f>IF(K$3&lt;&gt;"",K8*Pressupostos!$E$265+K9*((1+IRR(Empréstimo!$J$14:$J$194))^12-1),"")</f>
        <v/>
      </c>
      <c r="L11" s="107" t="str">
        <f>IF(L$3&lt;&gt;"",L8*Pressupostos!$E$265+L9*((1+IRR(Empréstimo!$J$14:$J$194))^12-1),"")</f>
        <v/>
      </c>
      <c r="M11" s="107" t="str">
        <f>IF(M$3&lt;&gt;"",M8*Pressupostos!$E$265+M9*((1+IRR(Empréstimo!$J$14:$J$194))^12-1),"")</f>
        <v/>
      </c>
      <c r="N11" s="107" t="str">
        <f>IF(N$3&lt;&gt;"",N8*Pressupostos!$E$265+N9*((1+IRR(Empréstimo!$J$14:$J$194))^12-1),"")</f>
        <v/>
      </c>
      <c r="O11" s="107" t="str">
        <f>IF(O$3&lt;&gt;"",O8*Pressupostos!$E$265+O9*((1+IRR(Empréstimo!$J$14:$J$194))^12-1),"")</f>
        <v/>
      </c>
      <c r="P11" s="107" t="str">
        <f>IF(P$3&lt;&gt;"",P8*Pressupostos!$E$265+P9*((1+IRR(Empréstimo!$J$14:$J$194))^12-1),"")</f>
        <v/>
      </c>
      <c r="Q11" s="107" t="str">
        <f>IF(Q$3&lt;&gt;"",Q8*Pressupostos!$E$265+Q9*((1+IRR(Empréstimo!$J$14:$J$194))^12-1),"")</f>
        <v/>
      </c>
      <c r="R11" s="107" t="str">
        <f>IF(R$3&lt;&gt;"",R8*Pressupostos!$E$265+R9*((1+IRR(Empréstimo!$J$14:$J$194))^12-1),"")</f>
        <v/>
      </c>
    </row>
    <row r="14" spans="1:18" ht="13.2">
      <c r="B14" s="101" t="s">
        <v>299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8" ht="13.2">
      <c r="B15" s="26" t="s">
        <v>15</v>
      </c>
      <c r="C15" s="26">
        <f>IF(Pressupostos!F10&lt;&gt;"",Pressupostos!F10-1,"")</f>
        <v>2023</v>
      </c>
      <c r="D15" s="26">
        <f>IF(Pressupostos!F10&lt;&gt;"",Pressupostos!F10,"")</f>
        <v>2024</v>
      </c>
      <c r="E15" s="26">
        <f>IF(Pressupostos!G10&lt;&gt;"",Pressupostos!G10,"")</f>
        <v>2025</v>
      </c>
      <c r="F15" s="26" t="str">
        <f>IF(Pressupostos!H10&lt;&gt;"",Pressupostos!H10,"")</f>
        <v/>
      </c>
      <c r="G15" s="26" t="str">
        <f>IF(Pressupostos!I10&lt;&gt;"",Pressupostos!I10,"")</f>
        <v/>
      </c>
      <c r="H15" s="26" t="str">
        <f>IF(Pressupostos!J10&lt;&gt;"",Pressupostos!J10,"")</f>
        <v/>
      </c>
      <c r="I15" s="26" t="str">
        <f>IF(Pressupostos!K10&lt;&gt;"",Pressupostos!K10,"")</f>
        <v/>
      </c>
      <c r="J15" s="26" t="str">
        <f>IF(Pressupostos!L10&lt;&gt;"",Pressupostos!L10,"")</f>
        <v/>
      </c>
      <c r="K15" s="26" t="str">
        <f>IF(Pressupostos!M10&lt;&gt;"",Pressupostos!M10,"")</f>
        <v/>
      </c>
      <c r="L15" s="26" t="str">
        <f>IF(Pressupostos!N10&lt;&gt;"",Pressupostos!N10,"")</f>
        <v/>
      </c>
      <c r="M15" s="26" t="str">
        <f>IF(Pressupostos!O10&lt;&gt;"",Pressupostos!O10,"")</f>
        <v/>
      </c>
      <c r="N15" s="26" t="str">
        <f>IF(Pressupostos!P10&lt;&gt;"",Pressupostos!P10,"")</f>
        <v/>
      </c>
      <c r="O15" s="26" t="str">
        <f>IF(Pressupostos!Q10&lt;&gt;"",Pressupostos!Q10,"")</f>
        <v/>
      </c>
      <c r="P15" s="26" t="str">
        <f>IF(Pressupostos!R10&lt;&gt;"",Pressupostos!R10,"")</f>
        <v/>
      </c>
      <c r="Q15" s="26" t="str">
        <f>IF(Pressupostos!S10&lt;&gt;"",Pressupostos!S10,"")</f>
        <v/>
      </c>
      <c r="R15" s="26" t="str">
        <f>IF(Pressupostos!T10&lt;&gt;"",Pressupostos!T10,"")</f>
        <v/>
      </c>
    </row>
    <row r="16" spans="1:18" ht="13.2">
      <c r="B16" s="70"/>
      <c r="C16" s="70"/>
      <c r="D16" s="70"/>
      <c r="E16" s="70"/>
      <c r="F16" s="70"/>
      <c r="G16" s="70"/>
      <c r="H16" s="70"/>
      <c r="I16" s="70"/>
      <c r="J16" s="27"/>
      <c r="K16" s="27"/>
      <c r="L16" s="27"/>
      <c r="M16" s="17"/>
      <c r="N16" s="17"/>
      <c r="O16" s="17"/>
      <c r="P16" s="17"/>
      <c r="Q16" s="17"/>
      <c r="R16" s="17"/>
    </row>
    <row r="17" spans="2:18" ht="13.2">
      <c r="B17" s="89" t="s">
        <v>242</v>
      </c>
      <c r="C17" s="29">
        <f>IF(C$15&lt;&gt;"",FCF!C10,"")</f>
        <v>-424000</v>
      </c>
      <c r="D17" s="29">
        <f>IF(D$15&lt;&gt;"",FCF!D10,"")</f>
        <v>-67999.559500000018</v>
      </c>
      <c r="E17" s="29">
        <f>IF(E$15&lt;&gt;"",FCF!E10,"")</f>
        <v>98795.660643333336</v>
      </c>
      <c r="F17" s="29" t="str">
        <f>IF(F$15&lt;&gt;"",FCF!F10,"")</f>
        <v/>
      </c>
      <c r="G17" s="29" t="str">
        <f>IF(G$15&lt;&gt;"",FCF!G10,"")</f>
        <v/>
      </c>
      <c r="H17" s="29" t="str">
        <f>IF(H$15&lt;&gt;"",FCF!H10,"")</f>
        <v/>
      </c>
      <c r="I17" s="29" t="str">
        <f>IF(I$15&lt;&gt;"",FCF!I10,"")</f>
        <v/>
      </c>
      <c r="J17" s="29" t="str">
        <f>IF(J$15&lt;&gt;"",FCF!J10,"")</f>
        <v/>
      </c>
      <c r="K17" s="29" t="str">
        <f>IF(K$15&lt;&gt;"",FCF!K10,"")</f>
        <v/>
      </c>
      <c r="L17" s="29" t="str">
        <f>IF(L$15&lt;&gt;"",FCF!L10,"")</f>
        <v/>
      </c>
      <c r="M17" s="29" t="str">
        <f>IF(M$15&lt;&gt;"",FCF!M10,"")</f>
        <v/>
      </c>
      <c r="N17" s="29" t="str">
        <f>IF(N$15&lt;&gt;"",FCF!N10,"")</f>
        <v/>
      </c>
      <c r="O17" s="29" t="str">
        <f>IF(O$15&lt;&gt;"",FCF!O10,"")</f>
        <v/>
      </c>
      <c r="P17" s="29" t="str">
        <f>IF(P$15&lt;&gt;"",FCF!P10,"")</f>
        <v/>
      </c>
      <c r="Q17" s="29" t="str">
        <f>IF(Q$15&lt;&gt;"",FCF!Q10,"")</f>
        <v/>
      </c>
      <c r="R17" s="29" t="str">
        <f>IF(R$15&lt;&gt;"",FCF!R10,"")</f>
        <v/>
      </c>
    </row>
    <row r="18" spans="2:18" ht="13.2">
      <c r="B18" s="89" t="s">
        <v>307</v>
      </c>
      <c r="C18" s="68"/>
      <c r="D18" s="103" t="str">
        <f>IF(D15="","",IF(D15-$C15=Pressupostos!$F5,D17*(1+Pressupostos!$E$273)/(D11-Pressupostos!$E$273),""))</f>
        <v/>
      </c>
      <c r="E18" s="103">
        <f>IF(E15="","",IF(E15-$C15=Pressupostos!$F5,E17*(1+Pressupostos!$E$273)/(E11-Pressupostos!$E$273),""))</f>
        <v>1143614.3300464556</v>
      </c>
      <c r="F18" s="103" t="str">
        <f>IF(F15="","",IF(F15-$C15=Pressupostos!$F5,F17*(1+Pressupostos!$E$273)/(F11-Pressupostos!$E$273),""))</f>
        <v/>
      </c>
      <c r="G18" s="103" t="str">
        <f>IF(G15="","",IF(G15-$C15=Pressupostos!$F5,G17*(1+Pressupostos!$E$273)/(G11-Pressupostos!$E$273),""))</f>
        <v/>
      </c>
      <c r="H18" s="103" t="str">
        <f>IF(H15="","",IF(H15-$C15=Pressupostos!$F5,H17*(1+Pressupostos!$E$273)/(H11-Pressupostos!$E$273),""))</f>
        <v/>
      </c>
      <c r="I18" s="103" t="str">
        <f>IF(I15="","",IF(I15-$C15=Pressupostos!$F5,I17*(1+Pressupostos!$E$273)/(I11-Pressupostos!$E$273),""))</f>
        <v/>
      </c>
      <c r="J18" s="103" t="str">
        <f>IF(J15="","",IF(J15-$C15=Pressupostos!$F5,J17*(1+Pressupostos!$E$273)/(J11-Pressupostos!$E$273),""))</f>
        <v/>
      </c>
      <c r="K18" s="103" t="str">
        <f>IF(K15="","",IF(K15-$C15=Pressupostos!$F5,K17*(1+Pressupostos!$E$273)/(K11-Pressupostos!$E$273),""))</f>
        <v/>
      </c>
      <c r="L18" s="103" t="str">
        <f>IF(L15="","",IF(L15-$C15=Pressupostos!$F5,L17*(1+Pressupostos!$E$273)/(L11-Pressupostos!$E$273),""))</f>
        <v/>
      </c>
      <c r="M18" s="103" t="str">
        <f>IF(M15="","",IF(M15-$C15=Pressupostos!$F5,M17*(1+Pressupostos!$E$273)/(M11-Pressupostos!$E$273),""))</f>
        <v/>
      </c>
      <c r="N18" s="103" t="str">
        <f>IF(N15="","",IF(N15-$C15=Pressupostos!$F5,N17*(1+Pressupostos!$E$273)/(N11-Pressupostos!$E$273),""))</f>
        <v/>
      </c>
      <c r="O18" s="103" t="str">
        <f>IF(O15="","",IF(O15-$C15=Pressupostos!$F5,O17*(1+Pressupostos!$E$273)/(O11-Pressupostos!$E$273),""))</f>
        <v/>
      </c>
      <c r="P18" s="103" t="str">
        <f>IF(P15="","",IF(P15-$C15=Pressupostos!$F5,P17*(1+Pressupostos!$E$273)/(P11-Pressupostos!$E$273),""))</f>
        <v/>
      </c>
      <c r="Q18" s="103" t="str">
        <f>IF(Q15="","",IF(Q15-$C15=Pressupostos!$F5,Q17*(1+Pressupostos!$E$273)/(Q11-Pressupostos!$E$273),""))</f>
        <v/>
      </c>
      <c r="R18" s="103" t="str">
        <f>IF(R15="","",IF(R15-$C15=Pressupostos!$F5,R17*(1+Pressupostos!$E$273)/(R11-Pressupostos!$E$273),""))</f>
        <v/>
      </c>
    </row>
    <row r="19" spans="2:18" ht="13.2">
      <c r="C19" s="29">
        <f t="shared" ref="C19:R19" si="3">IF(C15&lt;&gt;"",IF(D15&lt;&gt;"",C17,C17+C18),"")</f>
        <v>-424000</v>
      </c>
      <c r="D19" s="29">
        <f t="shared" si="3"/>
        <v>-67999.559500000018</v>
      </c>
      <c r="E19" s="29">
        <f t="shared" si="3"/>
        <v>1242409.9906897889</v>
      </c>
      <c r="F19" s="29" t="str">
        <f t="shared" si="3"/>
        <v/>
      </c>
      <c r="G19" s="29" t="str">
        <f t="shared" si="3"/>
        <v/>
      </c>
      <c r="H19" s="29" t="str">
        <f t="shared" si="3"/>
        <v/>
      </c>
      <c r="I19" s="29" t="str">
        <f t="shared" si="3"/>
        <v/>
      </c>
      <c r="J19" s="29" t="str">
        <f t="shared" si="3"/>
        <v/>
      </c>
      <c r="K19" s="29" t="str">
        <f t="shared" si="3"/>
        <v/>
      </c>
      <c r="L19" s="29" t="str">
        <f t="shared" si="3"/>
        <v/>
      </c>
      <c r="M19" s="29" t="str">
        <f t="shared" si="3"/>
        <v/>
      </c>
      <c r="N19" s="29" t="str">
        <f t="shared" si="3"/>
        <v/>
      </c>
      <c r="O19" s="29" t="str">
        <f t="shared" si="3"/>
        <v/>
      </c>
      <c r="P19" s="29" t="str">
        <f t="shared" si="3"/>
        <v/>
      </c>
      <c r="Q19" s="29" t="str">
        <f t="shared" si="3"/>
        <v/>
      </c>
      <c r="R19" s="29" t="str">
        <f t="shared" si="3"/>
        <v/>
      </c>
    </row>
    <row r="20" spans="2:18" ht="13.2">
      <c r="B20" s="89" t="s">
        <v>310</v>
      </c>
      <c r="C20" s="108">
        <f>IF(C$15&lt;&gt;"",(1+C11)^-1,"")</f>
        <v>1</v>
      </c>
      <c r="D20" s="108">
        <f>IF(D$15&lt;&gt;"",C20*(1+D11)^-1,"")</f>
        <v>0.91742022985197924</v>
      </c>
      <c r="E20" s="108">
        <f t="shared" ref="E20:R20" si="4">IF(E$15&lt;&gt;"",D20*(1+E11)^-1,"")</f>
        <v>0.8279093632184884</v>
      </c>
      <c r="F20" s="108" t="str">
        <f t="shared" si="4"/>
        <v/>
      </c>
      <c r="G20" s="108" t="str">
        <f t="shared" si="4"/>
        <v/>
      </c>
      <c r="H20" s="108" t="str">
        <f t="shared" si="4"/>
        <v/>
      </c>
      <c r="I20" s="108" t="str">
        <f t="shared" si="4"/>
        <v/>
      </c>
      <c r="J20" s="108" t="str">
        <f t="shared" si="4"/>
        <v/>
      </c>
      <c r="K20" s="108" t="str">
        <f t="shared" si="4"/>
        <v/>
      </c>
      <c r="L20" s="108" t="str">
        <f t="shared" si="4"/>
        <v/>
      </c>
      <c r="M20" s="108" t="str">
        <f t="shared" si="4"/>
        <v/>
      </c>
      <c r="N20" s="108" t="str">
        <f t="shared" si="4"/>
        <v/>
      </c>
      <c r="O20" s="108" t="str">
        <f t="shared" si="4"/>
        <v/>
      </c>
      <c r="P20" s="108" t="str">
        <f t="shared" si="4"/>
        <v/>
      </c>
      <c r="Q20" s="108" t="str">
        <f t="shared" si="4"/>
        <v/>
      </c>
      <c r="R20" s="108" t="str">
        <f t="shared" si="4"/>
        <v/>
      </c>
    </row>
    <row r="21" spans="2:18" ht="13.2">
      <c r="B21" s="89" t="s">
        <v>311</v>
      </c>
      <c r="C21" s="29">
        <f>IF(C$15&lt;&gt;"",C19*C20,"")</f>
        <v>-424000</v>
      </c>
      <c r="D21" s="29">
        <f t="shared" ref="D21:R21" si="5">IF(D$15&lt;&gt;"",D19*D20,"")</f>
        <v>-62384.171506323357</v>
      </c>
      <c r="E21" s="29">
        <f t="shared" si="5"/>
        <v>1028602.8642482712</v>
      </c>
      <c r="F21" s="29" t="str">
        <f t="shared" si="5"/>
        <v/>
      </c>
      <c r="G21" s="29" t="str">
        <f t="shared" si="5"/>
        <v/>
      </c>
      <c r="H21" s="29" t="str">
        <f t="shared" si="5"/>
        <v/>
      </c>
      <c r="I21" s="29" t="str">
        <f t="shared" si="5"/>
        <v/>
      </c>
      <c r="J21" s="29" t="str">
        <f t="shared" si="5"/>
        <v/>
      </c>
      <c r="K21" s="29" t="str">
        <f t="shared" si="5"/>
        <v/>
      </c>
      <c r="L21" s="29" t="str">
        <f t="shared" si="5"/>
        <v/>
      </c>
      <c r="M21" s="29" t="str">
        <f t="shared" si="5"/>
        <v/>
      </c>
      <c r="N21" s="29" t="str">
        <f t="shared" si="5"/>
        <v/>
      </c>
      <c r="O21" s="29" t="str">
        <f t="shared" si="5"/>
        <v/>
      </c>
      <c r="P21" s="29" t="str">
        <f t="shared" si="5"/>
        <v/>
      </c>
      <c r="Q21" s="29" t="str">
        <f t="shared" si="5"/>
        <v/>
      </c>
      <c r="R21" s="29" t="str">
        <f t="shared" si="5"/>
        <v/>
      </c>
    </row>
    <row r="22" spans="2:18" ht="13.2">
      <c r="B22" s="91" t="s">
        <v>312</v>
      </c>
      <c r="C22" s="103">
        <f>IF(C$15&lt;&gt;"",C21,"")</f>
        <v>-424000</v>
      </c>
      <c r="D22" s="103">
        <f>IF(D$15&lt;&gt;"",C22+D21,"")</f>
        <v>-486384.17150632339</v>
      </c>
      <c r="E22" s="103">
        <f t="shared" ref="E22:R22" si="6">IF(E$15&lt;&gt;"",D22+E21,"")</f>
        <v>542218.69274194783</v>
      </c>
      <c r="F22" s="103" t="str">
        <f t="shared" si="6"/>
        <v/>
      </c>
      <c r="G22" s="103" t="str">
        <f t="shared" si="6"/>
        <v/>
      </c>
      <c r="H22" s="103" t="str">
        <f t="shared" si="6"/>
        <v/>
      </c>
      <c r="I22" s="103" t="str">
        <f t="shared" si="6"/>
        <v/>
      </c>
      <c r="J22" s="103" t="str">
        <f t="shared" si="6"/>
        <v/>
      </c>
      <c r="K22" s="103" t="str">
        <f t="shared" si="6"/>
        <v/>
      </c>
      <c r="L22" s="103" t="str">
        <f t="shared" si="6"/>
        <v/>
      </c>
      <c r="M22" s="103" t="str">
        <f t="shared" si="6"/>
        <v/>
      </c>
      <c r="N22" s="103" t="str">
        <f t="shared" si="6"/>
        <v/>
      </c>
      <c r="O22" s="103" t="str">
        <f t="shared" si="6"/>
        <v/>
      </c>
      <c r="P22" s="103" t="str">
        <f t="shared" si="6"/>
        <v/>
      </c>
      <c r="Q22" s="103" t="str">
        <f t="shared" si="6"/>
        <v/>
      </c>
      <c r="R22" s="103" t="str">
        <f t="shared" si="6"/>
        <v/>
      </c>
    </row>
    <row r="23" spans="2:18" ht="13.2">
      <c r="B23" s="93" t="s">
        <v>313</v>
      </c>
      <c r="C23" s="110">
        <f>SUM(C21:R21)</f>
        <v>542218.69274194783</v>
      </c>
    </row>
    <row r="24" spans="2:18" ht="13.2">
      <c r="B24" s="93" t="s">
        <v>314</v>
      </c>
      <c r="C24" s="111">
        <f>IRR(C19:R19)</f>
        <v>0.63347527950336735</v>
      </c>
      <c r="I24" s="34"/>
    </row>
    <row r="25" spans="2:18" ht="13.2">
      <c r="B25" s="109" t="s">
        <v>315</v>
      </c>
      <c r="C25" s="112" cm="1">
        <f t="array" ref="C25">INDEX(C15:R22,1,MATCH(TRUE,C22:R22&gt;0,0))-D15+ABS(INDEX(C15:R22,8,MATCH(TRUE,C22:R22&gt;0,0)-1))/INDEX(C15:R22,7,MATCH(TRUE,C22:R22&gt;0,0))</f>
        <v>1.4728590483381407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Pressupostos</vt:lpstr>
      <vt:lpstr>Sheet1</vt:lpstr>
      <vt:lpstr>Compras</vt:lpstr>
      <vt:lpstr>DR</vt:lpstr>
      <vt:lpstr>Empréstimo</vt:lpstr>
      <vt:lpstr>NFM</vt:lpstr>
      <vt:lpstr>FCF</vt:lpstr>
      <vt:lpstr>Balanço</vt:lpstr>
      <vt:lpstr>Avaliação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</dc:creator>
  <cp:lastModifiedBy>Andre Santos</cp:lastModifiedBy>
  <dcterms:created xsi:type="dcterms:W3CDTF">2023-05-11T22:37:28Z</dcterms:created>
  <dcterms:modified xsi:type="dcterms:W3CDTF">2023-07-09T23:39:37Z</dcterms:modified>
</cp:coreProperties>
</file>